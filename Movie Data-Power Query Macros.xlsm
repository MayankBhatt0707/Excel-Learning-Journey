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m9wrc\OneDrive\Desktop\Bootcamp\Excel\"/>
    </mc:Choice>
  </mc:AlternateContent>
  <xr:revisionPtr revIDLastSave="0" documentId="8_{225BCDF5-114A-49FB-A8C6-3A327348D78E}" xr6:coauthVersionLast="47" xr6:coauthVersionMax="47" xr10:uidLastSave="{00000000-0000-0000-0000-000000000000}"/>
  <bookViews>
    <workbookView xWindow="-108" yWindow="-108" windowWidth="23256" windowHeight="12456" xr2:uid="{00000000-000D-0000-FFFF-FFFF00000000}"/>
  </bookViews>
  <sheets>
    <sheet name="ProfitLossStatement" sheetId="7" r:id="rId1"/>
    <sheet name="target" sheetId="8" r:id="rId2"/>
    <sheet name="Movie_Financials" sheetId="6" r:id="rId3"/>
    <sheet name="movies" sheetId="1" r:id="rId4"/>
    <sheet name="financials" sheetId="2" r:id="rId5"/>
    <sheet name="actors" sheetId="3" r:id="rId6"/>
    <sheet name="movie_actor" sheetId="4" r:id="rId7"/>
    <sheet name="languages" sheetId="5" r:id="rId8"/>
    <sheet name="Sheet3" sheetId="9" r:id="rId9"/>
  </sheets>
  <definedNames>
    <definedName name="_xlnm._FilterDatabase" localSheetId="2" hidden="1">Movie_Financials!$A$5:$E$31</definedName>
    <definedName name="_xlcn.WorksheetConnection_MovieDataPowerQuery.xlsxtarget" hidden="1">target[]</definedName>
    <definedName name="Slicer_industry">#N/A</definedName>
  </definedNames>
  <calcPr calcId="191029"/>
  <pivotCaches>
    <pivotCache cacheId="0" r:id="rId10"/>
    <pivotCache cacheId="16"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lstudiop l_e924d787-e759-4873-98df-6bb015a9f145" name="allstudiop l" connection="Query - allstudiop&amp;l"/>
          <x15:modelTable id="target" name="target" connection="WorksheetConnection_Movie Data-Power Query.xlsx!target"/>
        </x15:modelTables>
        <x15:modelRelationships>
          <x15:modelRelationship fromTable="allstudiop l" fromColumn="studio" toTable="target" toColumn="studio"/>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BCD42DD-B421-4C25-8443-31CE1F57B7C3}" name="Query - allstudiop&amp;l" description="Connection to the 'allstudiop&amp;l' query in the workbook." type="100" refreshedVersion="8" minRefreshableVersion="5">
    <extLst>
      <ext xmlns:x15="http://schemas.microsoft.com/office/spreadsheetml/2010/11/main" uri="{DE250136-89BD-433C-8126-D09CA5730AF9}">
        <x15:connection id="1e027c54-8d80-40d1-ae6b-b3a1b08f2b65"/>
      </ext>
    </extLst>
  </connection>
  <connection id="2" xr16:uid="{AC62DF1B-4190-4128-8AA3-18DA506CDF73}" keepAlive="1" name="Query - Financials" description="Connection to the 'Financials' query in the workbook." type="5" refreshedVersion="0" background="1" saveData="1">
    <dbPr connection="Provider=Microsoft.Mashup.OleDb.1;Data Source=$Workbook$;Location=Financials;Extended Properties=&quot;&quot;" command="SELECT * FROM [Financials]"/>
  </connection>
  <connection id="3" xr16:uid="{CCACFA50-6EAA-428C-AA18-BCB8B45D81BC}" keepAlive="1" name="Query - Movie_Financials" description="Connection to the 'Movie_Financials' query in the workbook." type="5" refreshedVersion="8" background="1" saveData="1">
    <dbPr connection="Provider=Microsoft.Mashup.OleDb.1;Data Source=$Workbook$;Location=Movie_Financials;Extended Properties=&quot;&quot;" command="SELECT * FROM [Movie_Financials]"/>
  </connection>
  <connection id="4" xr16:uid="{9FED3E4D-5F79-4324-AAF1-B502EF5C1872}" keepAlive="1" name="Query - Movies" description="Connection to the 'Movies' query in the workbook." type="5" refreshedVersion="0" background="1" saveData="1">
    <dbPr connection="Provider=Microsoft.Mashup.OleDb.1;Data Source=$Workbook$;Location=Movies;Extended Properties=&quot;&quot;" command="SELECT * FROM [Movies]"/>
  </connection>
  <connection id="5" xr16:uid="{D18998D4-9D35-40B6-B17B-E75FE67CA2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2483EB51-AE8C-4C35-9B28-88059FA8BE3E}" name="WorksheetConnection_Movie Data-Power Query.xlsx!target" type="102" refreshedVersion="8" minRefreshableVersion="5" refreshOnLoad="1" saveData="1">
    <extLst>
      <ext xmlns:x15="http://schemas.microsoft.com/office/spreadsheetml/2010/11/main" uri="{DE250136-89BD-433C-8126-D09CA5730AF9}">
        <x15:connection id="target">
          <x15:rangePr sourceName="_xlcn.WorksheetConnection_MovieDataPowerQuery.xlsxtarget"/>
        </x15:connection>
      </ext>
    </extLst>
  </connection>
</connections>
</file>

<file path=xl/sharedStrings.xml><?xml version="1.0" encoding="utf-8"?>
<sst xmlns="http://schemas.openxmlformats.org/spreadsheetml/2006/main" count="409" uniqueCount="218">
  <si>
    <t>movie_id</t>
  </si>
  <si>
    <t>industry</t>
  </si>
  <si>
    <t>release_year</t>
  </si>
  <si>
    <t>imdb_rating</t>
  </si>
  <si>
    <t>studio</t>
  </si>
  <si>
    <t>language_id</t>
  </si>
  <si>
    <t>Bollywood</t>
  </si>
  <si>
    <t>Hollywood</t>
  </si>
  <si>
    <t>Marvel Studios</t>
  </si>
  <si>
    <t>United Producers</t>
  </si>
  <si>
    <t>Yash Raj Films</t>
  </si>
  <si>
    <t>Vinod Chopra Films</t>
  </si>
  <si>
    <t>Dharma Productions</t>
  </si>
  <si>
    <t>Castle Rock Entertainment</t>
  </si>
  <si>
    <t>Warner Bros. Pictures</t>
  </si>
  <si>
    <t>Columbia Pictures</t>
  </si>
  <si>
    <t xml:space="preserve">Universal Pictures  </t>
  </si>
  <si>
    <t>Paramount Pictures</t>
  </si>
  <si>
    <t>Liberty Films</t>
  </si>
  <si>
    <t>20th Century Fox</t>
  </si>
  <si>
    <t>Syncopy</t>
  </si>
  <si>
    <t>Universal Pictures</t>
  </si>
  <si>
    <t>Vinod Chopra Productions</t>
  </si>
  <si>
    <t>Mythri Movie Makers</t>
  </si>
  <si>
    <t>DVV Entertainment</t>
  </si>
  <si>
    <t>Arka Media Works</t>
  </si>
  <si>
    <t>Zee Studios</t>
  </si>
  <si>
    <t>Salman Khan Films</t>
  </si>
  <si>
    <t>budget</t>
  </si>
  <si>
    <t>revenue</t>
  </si>
  <si>
    <t>unit</t>
  </si>
  <si>
    <t>currency</t>
  </si>
  <si>
    <t>Billions</t>
  </si>
  <si>
    <t>INR</t>
  </si>
  <si>
    <t>Millions</t>
  </si>
  <si>
    <t>USD</t>
  </si>
  <si>
    <t>actor_id</t>
  </si>
  <si>
    <t>name</t>
  </si>
  <si>
    <t>birth_year</t>
  </si>
  <si>
    <t>Yash</t>
  </si>
  <si>
    <t>Sanjay Dutt</t>
  </si>
  <si>
    <t>Benedict Cumberbatch</t>
  </si>
  <si>
    <t>Elizabeth Olsen</t>
  </si>
  <si>
    <t>Chris Hemsworth</t>
  </si>
  <si>
    <t>Natalie Portman</t>
  </si>
  <si>
    <t>Tom Hiddleston</t>
  </si>
  <si>
    <t>Amitabh Bachchan</t>
  </si>
  <si>
    <t>Jaya Bachchan</t>
  </si>
  <si>
    <t>Shah Rukh Khan</t>
  </si>
  <si>
    <t>Kajol</t>
  </si>
  <si>
    <t>Aamir Khan</t>
  </si>
  <si>
    <t>R. Madhavan</t>
  </si>
  <si>
    <t>Sharman Joshi</t>
  </si>
  <si>
    <t>Hrithik Roshan</t>
  </si>
  <si>
    <t>Ranveer Singh</t>
  </si>
  <si>
    <t>Deepika Padukone</t>
  </si>
  <si>
    <t>Tim Robbins</t>
  </si>
  <si>
    <t>Morgan Freeman</t>
  </si>
  <si>
    <t>Leonardo DiCaprio</t>
  </si>
  <si>
    <t>Ken Watanabe</t>
  </si>
  <si>
    <t>Matthew McConaughey</t>
  </si>
  <si>
    <t>Anne Hathaway</t>
  </si>
  <si>
    <t>John David Washington</t>
  </si>
  <si>
    <t>Robert Pattinson</t>
  </si>
  <si>
    <t>Will Smith</t>
  </si>
  <si>
    <t>Thandiwe Newton</t>
  </si>
  <si>
    <t>Russell Crowe</t>
  </si>
  <si>
    <t>Joaquin Phoenix</t>
  </si>
  <si>
    <t>Kate Winslet</t>
  </si>
  <si>
    <t>James Stewart</t>
  </si>
  <si>
    <t>Donna Reed</t>
  </si>
  <si>
    <t>Sam Worthington</t>
  </si>
  <si>
    <t>Zoe Saldana</t>
  </si>
  <si>
    <t>Marlon Brando</t>
  </si>
  <si>
    <t>Al Pacino</t>
  </si>
  <si>
    <t>Christian Bale</t>
  </si>
  <si>
    <t>Heath Ledger</t>
  </si>
  <si>
    <t>Liam Neeson</t>
  </si>
  <si>
    <t>Ben Kingsley</t>
  </si>
  <si>
    <t>Sam Neill</t>
  </si>
  <si>
    <t>Laura Dern</t>
  </si>
  <si>
    <t>Song Kang-ho</t>
  </si>
  <si>
    <t>Lee Sun-kyun</t>
  </si>
  <si>
    <t>Robert Downey Jr.</t>
  </si>
  <si>
    <t>Chris Evans</t>
  </si>
  <si>
    <t>Kanu Banerjee</t>
  </si>
  <si>
    <t>Karuna Banerjee</t>
  </si>
  <si>
    <t>Darsheel Safary</t>
  </si>
  <si>
    <t>Sunil Dutt</t>
  </si>
  <si>
    <t>Anushka Sharma</t>
  </si>
  <si>
    <t>Ranbir Kapoor</t>
  </si>
  <si>
    <t>Allu Arjun</t>
  </si>
  <si>
    <t>Fahadh Faasil</t>
  </si>
  <si>
    <t>N. T. Rama Rao Jr.</t>
  </si>
  <si>
    <t>Ram Charan</t>
  </si>
  <si>
    <t>Prabhas</t>
  </si>
  <si>
    <t>Rana Daggubati</t>
  </si>
  <si>
    <t>Mithun Chakraborty</t>
  </si>
  <si>
    <t>Anupam Kher</t>
  </si>
  <si>
    <t>Salman Khan</t>
  </si>
  <si>
    <t>Nawazuddin Siddiqui</t>
  </si>
  <si>
    <t>Tommy Lee Jones</t>
  </si>
  <si>
    <t>Sebastian Stan</t>
  </si>
  <si>
    <t>Anil Kapoor</t>
  </si>
  <si>
    <t>Sidharth Malhotra</t>
  </si>
  <si>
    <t>Kiara Advani</t>
  </si>
  <si>
    <t>Hindi</t>
  </si>
  <si>
    <t>Telugu</t>
  </si>
  <si>
    <t>Kannada</t>
  </si>
  <si>
    <t>Tamil</t>
  </si>
  <si>
    <t>English</t>
  </si>
  <si>
    <t>French</t>
  </si>
  <si>
    <t>Bengali</t>
  </si>
  <si>
    <t>Gujarati</t>
  </si>
  <si>
    <t>NULL</t>
  </si>
  <si>
    <t>movie_id_title</t>
  </si>
  <si>
    <t xml:space="preserve">  Hombale Films</t>
  </si>
  <si>
    <t xml:space="preserve">  Vinod Chopra Films</t>
  </si>
  <si>
    <t xml:space="preserve"> Marvel Studios</t>
  </si>
  <si>
    <t xml:space="preserve">    Paramount Pictures</t>
  </si>
  <si>
    <t>101:K.G.F: Chapter 2</t>
  </si>
  <si>
    <t>102:Doctor Strange in the Multiverse of Madness</t>
  </si>
  <si>
    <t xml:space="preserve">103:Thor: The Dark World </t>
  </si>
  <si>
    <t xml:space="preserve">104:Thor: Ragnarok </t>
  </si>
  <si>
    <t xml:space="preserve">105:Thor: Love and Thunder </t>
  </si>
  <si>
    <t>106:Sholay</t>
  </si>
  <si>
    <t>107:Dilwale Dulhania Le Jayenge</t>
  </si>
  <si>
    <t>108: 3 Idiots</t>
  </si>
  <si>
    <t>109:Kabhi Khushi Kabhie Gham</t>
  </si>
  <si>
    <t xml:space="preserve">110:Bajirao Mastani </t>
  </si>
  <si>
    <t>111: The Shawshank Redemption</t>
  </si>
  <si>
    <t>112:Inception</t>
  </si>
  <si>
    <t>113:Interstellar</t>
  </si>
  <si>
    <t>115:The Pursuit of Happyness</t>
  </si>
  <si>
    <t>116:Gladiator</t>
  </si>
  <si>
    <t>117:Titanic</t>
  </si>
  <si>
    <t>119:Avatar</t>
  </si>
  <si>
    <t>120:The Godfather</t>
  </si>
  <si>
    <t>121:The Dark Knight</t>
  </si>
  <si>
    <t>122:Schindler's List</t>
  </si>
  <si>
    <t>123:Jurassic Park</t>
  </si>
  <si>
    <t>124:Parasite</t>
  </si>
  <si>
    <t>125:Avengers: Endgame</t>
  </si>
  <si>
    <t>126:Avengers: Infinity War</t>
  </si>
  <si>
    <t>128:Taare Zameen Par</t>
  </si>
  <si>
    <t>129:Munna Bhai M.B.B.S.</t>
  </si>
  <si>
    <t>130:PK</t>
  </si>
  <si>
    <t>131:Sanju</t>
  </si>
  <si>
    <t>132:Pushpa: The Rise - Part 1</t>
  </si>
  <si>
    <t>133:RRR</t>
  </si>
  <si>
    <t>134:Baahubali: The Beginning</t>
  </si>
  <si>
    <t>135:The Kashmir Files</t>
  </si>
  <si>
    <t>136:Bajrangi Bhaijaan</t>
  </si>
  <si>
    <t>137:Captain America: The First Avenger</t>
  </si>
  <si>
    <t>138:Captain America: The Winter Soldier</t>
  </si>
  <si>
    <t>139:Race 3</t>
  </si>
  <si>
    <t>140:Shershaah</t>
  </si>
  <si>
    <t>Column1</t>
  </si>
  <si>
    <t>Row Labels</t>
  </si>
  <si>
    <t>Government of West Bengal</t>
  </si>
  <si>
    <t>Hombale Films</t>
  </si>
  <si>
    <t>Not Available</t>
  </si>
  <si>
    <t>Grand Total</t>
  </si>
  <si>
    <t>imdb rating</t>
  </si>
  <si>
    <t>(All)</t>
  </si>
  <si>
    <t>budget (USD)</t>
  </si>
  <si>
    <t>revenue (USD)</t>
  </si>
  <si>
    <t>profit/ loss (USD)</t>
  </si>
  <si>
    <t>Avatar</t>
  </si>
  <si>
    <t>Baahubali: The Beginning</t>
  </si>
  <si>
    <t xml:space="preserve"> The Shawshank Redemption</t>
  </si>
  <si>
    <t>The Pursuit of Happyness</t>
  </si>
  <si>
    <t>Kabhi Khushi Kabhie Gham</t>
  </si>
  <si>
    <t>Shershaah</t>
  </si>
  <si>
    <t>RRR</t>
  </si>
  <si>
    <t>Pather Panchali</t>
  </si>
  <si>
    <t>K.G.F: Chapter 2</t>
  </si>
  <si>
    <t>It's a Wonderful Life</t>
  </si>
  <si>
    <t>Avengers: Endgame</t>
  </si>
  <si>
    <t>Avengers: Infinity War</t>
  </si>
  <si>
    <t>Captain America: The First Avenger</t>
  </si>
  <si>
    <t>Captain America: The Winter Soldier</t>
  </si>
  <si>
    <t>Doctor Strange in the Multiverse of Madness</t>
  </si>
  <si>
    <t xml:space="preserve">Thor: Love and Thunder </t>
  </si>
  <si>
    <t xml:space="preserve">Thor: Ragnarok </t>
  </si>
  <si>
    <t xml:space="preserve">Thor: The Dark World </t>
  </si>
  <si>
    <t>Pushpa: The Rise - Part 1</t>
  </si>
  <si>
    <t xml:space="preserve">Bajirao Mastani </t>
  </si>
  <si>
    <t>Parasite</t>
  </si>
  <si>
    <t>Taare Zameen Par</t>
  </si>
  <si>
    <t>The Godfather</t>
  </si>
  <si>
    <t>Titanic</t>
  </si>
  <si>
    <t>Bajrangi Bhaijaan</t>
  </si>
  <si>
    <t>Race 3</t>
  </si>
  <si>
    <t>The Dark Knight</t>
  </si>
  <si>
    <t>Sholay</t>
  </si>
  <si>
    <t>Gladiator</t>
  </si>
  <si>
    <t>Jurassic Park</t>
  </si>
  <si>
    <t>Schindler's List</t>
  </si>
  <si>
    <t xml:space="preserve"> 3 Idiots</t>
  </si>
  <si>
    <t>PK</t>
  </si>
  <si>
    <t>Sanju</t>
  </si>
  <si>
    <t>Munna Bhai M.B.B.S.</t>
  </si>
  <si>
    <t>Inception</t>
  </si>
  <si>
    <t>Interstellar</t>
  </si>
  <si>
    <t>Dilwale Dulhania Le Jayenge</t>
  </si>
  <si>
    <t>The Kashmir Files</t>
  </si>
  <si>
    <t>Top Grossing Movies</t>
  </si>
  <si>
    <t>revenue $ mln</t>
  </si>
  <si>
    <t>budget $ mln</t>
  </si>
  <si>
    <t>p&amp;l%</t>
  </si>
  <si>
    <t>target</t>
  </si>
  <si>
    <t>All Studios P&amp;L</t>
  </si>
  <si>
    <t/>
  </si>
  <si>
    <t>p&amp;l $</t>
  </si>
  <si>
    <t>p&amp;l target$</t>
  </si>
  <si>
    <t>actuals - target</t>
  </si>
  <si>
    <t>actuals -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</si>
</sst>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00"/>
    <numFmt numFmtId="165" formatCode="\$#,##0.00;\(\$#,##0.00\);\$#,##0.00"/>
    <numFmt numFmtId="166" formatCode="0.00%;\-0.00%;0.00%"/>
  </numFmts>
  <fonts count="5" x14ac:knownFonts="1">
    <font>
      <sz val="11"/>
      <color theme="1"/>
      <name val="Calibri"/>
      <family val="2"/>
      <scheme val="minor"/>
    </font>
    <font>
      <sz val="11"/>
      <name val="Calibri"/>
      <family val="2"/>
      <scheme val="minor"/>
    </font>
    <font>
      <sz val="11"/>
      <color theme="1"/>
      <name val="Calibri"/>
      <family val="2"/>
      <scheme val="minor"/>
    </font>
    <font>
      <sz val="11"/>
      <color theme="0"/>
      <name val="Calibri"/>
      <family val="2"/>
      <scheme val="minor"/>
    </font>
    <font>
      <sz val="11"/>
      <color rgb="FF000000"/>
      <name val="Calibri"/>
      <family val="2"/>
    </font>
  </fonts>
  <fills count="4">
    <fill>
      <patternFill patternType="none"/>
    </fill>
    <fill>
      <patternFill patternType="gray125"/>
    </fill>
    <fill>
      <patternFill patternType="solid">
        <fgColor theme="9" tint="0.59999389629810485"/>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5">
    <xf numFmtId="0" fontId="0" fillId="0" borderId="0" xfId="0"/>
    <xf numFmtId="0" fontId="1" fillId="2" borderId="0" xfId="0" applyFont="1" applyFill="1"/>
    <xf numFmtId="0" fontId="0" fillId="2"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9" fontId="0" fillId="0" borderId="0" xfId="1" applyFont="1"/>
    <xf numFmtId="0" fontId="0" fillId="0" borderId="1" xfId="0" pivotButton="1" applyBorder="1"/>
    <xf numFmtId="0" fontId="0" fillId="0" borderId="1" xfId="0" applyBorder="1"/>
    <xf numFmtId="0" fontId="0" fillId="0" borderId="1" xfId="0" applyBorder="1" applyAlignment="1">
      <alignment horizontal="left"/>
    </xf>
    <xf numFmtId="166" fontId="0" fillId="0" borderId="1" xfId="0" applyNumberFormat="1" applyBorder="1"/>
    <xf numFmtId="165" fontId="0" fillId="0" borderId="1" xfId="0" applyNumberFormat="1" applyBorder="1"/>
    <xf numFmtId="0" fontId="0" fillId="0" borderId="1" xfId="0" applyBorder="1" applyAlignment="1">
      <alignment horizontal="left" indent="1"/>
    </xf>
    <xf numFmtId="0" fontId="3" fillId="3" borderId="0" xfId="0" applyFont="1" applyFill="1" applyAlignment="1">
      <alignment horizontal="center"/>
    </xf>
  </cellXfs>
  <cellStyles count="2">
    <cellStyle name="Normal" xfId="0" builtinId="0"/>
    <cellStyle name="Percent" xfId="1" builtinId="5"/>
  </cellStyles>
  <dxfs count="1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font>
        <b val="0"/>
        <i val="0"/>
        <strike val="0"/>
        <condense val="0"/>
        <extend val="0"/>
        <outline val="0"/>
        <shadow val="0"/>
        <u val="none"/>
        <vertAlign val="baseline"/>
        <sz val="11"/>
        <color auto="1"/>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auto="1"/>
        <name val="Calibri"/>
        <family val="2"/>
        <scheme val="minor"/>
      </font>
      <fill>
        <patternFill patternType="solid">
          <fgColor indexed="64"/>
          <bgColor theme="9" tint="0.59999389629810485"/>
        </patternFill>
      </fill>
    </dxf>
    <dxf>
      <numFmt numFmtId="2" formatCode="0.00"/>
    </dxf>
    <dxf>
      <numFmt numFmtId="164" formatCode="[$$-409]#,##0.0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47" Type="http://schemas.openxmlformats.org/officeDocument/2006/relationships/customXml" Target="../customXml/item30.xml"/><Relationship Id="rId50" Type="http://schemas.openxmlformats.org/officeDocument/2006/relationships/customXml" Target="../customXml/item33.xml"/><Relationship Id="rId55" Type="http://schemas.openxmlformats.org/officeDocument/2006/relationships/customXml" Target="../customXml/item3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haredStrings" Target="sharedStrings.xml"/><Relationship Id="rId29" Type="http://schemas.openxmlformats.org/officeDocument/2006/relationships/customXml" Target="../customXml/item12.xml"/><Relationship Id="rId11" Type="http://schemas.openxmlformats.org/officeDocument/2006/relationships/pivotCacheDefinition" Target="pivotCache/pivotCacheDefinition2.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3" Type="http://schemas.openxmlformats.org/officeDocument/2006/relationships/customXml" Target="../customXml/item36.xml"/><Relationship Id="rId58" Type="http://schemas.openxmlformats.org/officeDocument/2006/relationships/customXml" Target="../customXml/item41.xml"/><Relationship Id="rId5" Type="http://schemas.openxmlformats.org/officeDocument/2006/relationships/worksheet" Target="worksheets/sheet5.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48" Type="http://schemas.openxmlformats.org/officeDocument/2006/relationships/customXml" Target="../customXml/item31.xml"/><Relationship Id="rId56" Type="http://schemas.openxmlformats.org/officeDocument/2006/relationships/customXml" Target="../customXml/item39.xml"/><Relationship Id="rId8" Type="http://schemas.openxmlformats.org/officeDocument/2006/relationships/worksheet" Target="worksheets/sheet8.xml"/><Relationship Id="rId51" Type="http://schemas.openxmlformats.org/officeDocument/2006/relationships/customXml" Target="../customXml/item34.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46" Type="http://schemas.openxmlformats.org/officeDocument/2006/relationships/customXml" Target="../customXml/item29.xml"/><Relationship Id="rId59" Type="http://schemas.openxmlformats.org/officeDocument/2006/relationships/customXml" Target="../customXml/item42.xml"/><Relationship Id="rId20" Type="http://schemas.openxmlformats.org/officeDocument/2006/relationships/customXml" Target="../customXml/item3.xml"/><Relationship Id="rId41" Type="http://schemas.openxmlformats.org/officeDocument/2006/relationships/customXml" Target="../customXml/item24.xml"/><Relationship Id="rId54"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styles" Target="style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49" Type="http://schemas.openxmlformats.org/officeDocument/2006/relationships/customXml" Target="../customXml/item32.xml"/><Relationship Id="rId57" Type="http://schemas.openxmlformats.org/officeDocument/2006/relationships/customXml" Target="../customXml/item40.xml"/><Relationship Id="rId10" Type="http://schemas.openxmlformats.org/officeDocument/2006/relationships/pivotCacheDefinition" Target="pivotCache/pivotCacheDefinition1.xml"/><Relationship Id="rId31" Type="http://schemas.openxmlformats.org/officeDocument/2006/relationships/customXml" Target="../customXml/item14.xml"/><Relationship Id="rId44" Type="http://schemas.openxmlformats.org/officeDocument/2006/relationships/customXml" Target="../customXml/item27.xml"/><Relationship Id="rId52" Type="http://schemas.openxmlformats.org/officeDocument/2006/relationships/customXml" Target="../customXml/item35.xml"/><Relationship Id="rId6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144780</xdr:colOff>
          <xdr:row>2</xdr:row>
          <xdr:rowOff>45720</xdr:rowOff>
        </xdr:from>
        <xdr:to>
          <xdr:col>10</xdr:col>
          <xdr:colOff>53340</xdr:colOff>
          <xdr:row>3</xdr:row>
          <xdr:rowOff>83820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129540</xdr:colOff>
      <xdr:row>3</xdr:row>
      <xdr:rowOff>114300</xdr:rowOff>
    </xdr:from>
    <xdr:to>
      <xdr:col>9</xdr:col>
      <xdr:colOff>312420</xdr:colOff>
      <xdr:row>17</xdr:row>
      <xdr:rowOff>20955</xdr:rowOff>
    </xdr:to>
    <mc:AlternateContent xmlns:mc="http://schemas.openxmlformats.org/markup-compatibility/2006" xmlns:a14="http://schemas.microsoft.com/office/drawing/2010/main">
      <mc:Choice Requires="a14">
        <xdr:graphicFrame macro="">
          <xdr:nvGraphicFramePr>
            <xdr:cNvPr id="2" name="industry">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7170420" y="6629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yank Bhatt" refreshedDate="45065.24239699074" backgroundQuery="1" createdVersion="8" refreshedVersion="8" minRefreshableVersion="3" recordCount="39" xr:uid="{BC41E9A7-0BCB-432F-8F4E-81E64B4A9142}">
  <cacheSource type="external" connectionId="3"/>
  <cacheFields count="19">
    <cacheField name="movie_id" numFmtId="0">
      <sharedItems/>
    </cacheField>
    <cacheField name="title" numFmtId="0">
      <sharedItems count="39">
        <s v="K.G.F: Chapter 2"/>
        <s v="Doctor Strange in the Multiverse of Madness"/>
        <s v="Thor: The Dark World "/>
        <s v="Thor: Ragnarok "/>
        <s v="Thor: Love and Thunder "/>
        <s v="Dilwale Dulhania Le Jayenge"/>
        <s v=" 3 Idiots"/>
        <s v="Kabhi Khushi Kabhie Gham"/>
        <s v="Bajirao Mastani "/>
        <s v=" The Shawshank Redemption"/>
        <s v="Interstellar"/>
        <s v="The Pursuit of Happyness"/>
        <s v="Gladiator"/>
        <s v="Titanic"/>
        <s v="It's a Wonderful Life"/>
        <s v="Avatar"/>
        <s v="The Godfather"/>
        <s v="The Dark Knight"/>
        <s v="Schindler's List"/>
        <s v="Jurassic Park"/>
        <s v="Parasite"/>
        <s v="Avengers: Endgame"/>
        <s v="Avengers: Infinity War"/>
        <s v="Pather Panchali"/>
        <s v="Taare Zameen Par"/>
        <s v="Munna Bhai M.B.B.S."/>
        <s v="PK"/>
        <s v="Sanju"/>
        <s v="Pushpa: The Rise - Part 1"/>
        <s v="RRR"/>
        <s v="Baahubali: The Beginning"/>
        <s v="The Kashmir Files"/>
        <s v="Bajrangi Bhaijaan"/>
        <s v="Captain America: The First Avenger"/>
        <s v="Captain America: The Winter Soldier"/>
        <s v="Race 3"/>
        <s v="Shershaah"/>
        <s v="Sholay"/>
        <s v="Inception"/>
      </sharedItems>
    </cacheField>
    <cacheField name="industry" numFmtId="0">
      <sharedItems count="2">
        <s v="Bollywood"/>
        <s v="Hollywood"/>
      </sharedItems>
    </cacheField>
    <cacheField name="release_year" numFmtId="0">
      <sharedItems containsSemiMixedTypes="0" containsString="0" containsNumber="1" containsInteger="1" minValue="1946" maxValue="2022" count="25">
        <n v="2022"/>
        <n v="2013"/>
        <n v="2017"/>
        <n v="1995"/>
        <n v="2009"/>
        <n v="2001"/>
        <n v="2015"/>
        <n v="1994"/>
        <n v="2014"/>
        <n v="2006"/>
        <n v="2000"/>
        <n v="1997"/>
        <n v="1946"/>
        <n v="1972"/>
        <n v="2008"/>
        <n v="1993"/>
        <n v="2019"/>
        <n v="2018"/>
        <n v="1955"/>
        <n v="2007"/>
        <n v="2003"/>
        <n v="2021"/>
        <n v="2011"/>
        <n v="1975"/>
        <n v="2010"/>
      </sharedItems>
    </cacheField>
    <cacheField name="imdb_rating" numFmtId="0">
      <sharedItems containsString="0" containsBlank="1" containsNumber="1" minValue="1.9" maxValue="9.3000000000000007" count="21">
        <n v="8.4"/>
        <n v="7"/>
        <n v="6.8"/>
        <n v="7.9"/>
        <n v="8"/>
        <n v="7.4"/>
        <n v="7.2"/>
        <n v="9.3000000000000007"/>
        <n v="8.6"/>
        <n v="8.5"/>
        <n v="7.8"/>
        <n v="9.1999999999999993"/>
        <n v="9"/>
        <n v="8.1999999999999993"/>
        <n v="8.3000000000000007"/>
        <n v="8.1"/>
        <m/>
        <n v="7.6"/>
        <n v="6.9"/>
        <n v="1.9"/>
        <n v="8.8000000000000007"/>
      </sharedItems>
    </cacheField>
    <cacheField name="studio" numFmtId="0">
      <sharedItems count="22">
        <s v="Hombale Films"/>
        <s v="Marvel Studios"/>
        <s v="Yash Raj Films"/>
        <s v="Vinod Chopra Films"/>
        <s v="Dharma Productions"/>
        <s v="Not Available"/>
        <s v="Castle Rock Entertainment"/>
        <s v="Warner Bros. Pictures"/>
        <s v="Columbia Pictures"/>
        <s v="Universal Pictures"/>
        <s v="Paramount Pictures"/>
        <s v="Liberty Films"/>
        <s v="20th Century Fox"/>
        <s v="Syncopy"/>
        <s v="Government of West Bengal"/>
        <s v="Vinod Chopra Productions"/>
        <s v="Mythri Movie Makers"/>
        <s v="DVV Entertainment"/>
        <s v="Arka Media Works"/>
        <s v="Zee Studios"/>
        <s v="Salman Khan Films"/>
        <s v="United Producers"/>
      </sharedItems>
    </cacheField>
    <cacheField name="language_id" numFmtId="0">
      <sharedItems containsSemiMixedTypes="0" containsString="0" containsNumber="1" containsInteger="1" minValue="1" maxValue="7" count="5">
        <n v="3"/>
        <n v="5"/>
        <n v="1"/>
        <n v="7"/>
        <n v="2"/>
      </sharedItems>
    </cacheField>
    <cacheField name="budget" numFmtId="0">
      <sharedItems containsString="0" containsBlank="1" containsNumber="1" minValue="1" maxValue="900"/>
    </cacheField>
    <cacheField name="revenue" numFmtId="0">
      <sharedItems containsString="0" containsBlank="1" containsNumber="1" minValue="3.1" maxValue="11690"/>
    </cacheField>
    <cacheField name="unit" numFmtId="0">
      <sharedItems containsBlank="1" count="3">
        <s v="Billions"/>
        <s v="Millions"/>
        <m/>
      </sharedItems>
    </cacheField>
    <cacheField name="currency" numFmtId="0">
      <sharedItems containsBlank="1" count="3">
        <s v="INR"/>
        <s v="USD"/>
        <m/>
      </sharedItems>
    </cacheField>
    <cacheField name="factor" numFmtId="0">
      <sharedItems containsSemiMixedTypes="0" containsString="0" containsNumber="1" containsInteger="1" minValue="1" maxValue="1000" count="2">
        <n v="1000"/>
        <n v="1"/>
      </sharedItems>
    </cacheField>
    <cacheField name="budget (in millions)" numFmtId="0">
      <sharedItems containsString="0" containsBlank="1" containsNumber="1" containsInteger="1" minValue="3" maxValue="5500"/>
    </cacheField>
    <cacheField name="revenue (in millions)" numFmtId="0">
      <sharedItems containsString="0" containsBlank="1" containsNumber="1" minValue="3.3" maxValue="12500"/>
    </cacheField>
    <cacheField name="budget (in INR)" numFmtId="0">
      <sharedItems containsString="0" containsBlank="1" containsNumber="1" minValue="70" maxValue="32000"/>
    </cacheField>
    <cacheField name="revenue (in INR) " numFmtId="0">
      <sharedItems containsString="0" containsBlank="1" containsNumber="1" containsInteger="1" minValue="100" maxValue="227760"/>
    </cacheField>
    <cacheField name="budget (in USD)" numFmtId="0">
      <sharedItems containsString="0" containsBlank="1" containsNumber="1" minValue="0.875" maxValue="400"/>
    </cacheField>
    <cacheField name="revenue (in USD)" numFmtId="0">
      <sharedItems containsString="0" containsBlank="1" containsNumber="1" minValue="1.25" maxValue="2847"/>
    </cacheField>
    <cacheField name="profit/ loss" numFmtId="0">
      <sharedItems containsString="0" containsBlank="1" containsNumber="1" minValue="0.12" maxValue="2610"/>
    </cacheField>
  </cacheFields>
  <extLst>
    <ext xmlns:x14="http://schemas.microsoft.com/office/spreadsheetml/2009/9/main" uri="{725AE2AE-9491-48be-B2B4-4EB974FC3084}">
      <x14:pivotCacheDefinition pivotCacheId="20699997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yank Bhatt" refreshedDate="45065.417157175929" backgroundQuery="1" createdVersion="8" refreshedVersion="8" minRefreshableVersion="3" recordCount="0" supportSubquery="1" supportAdvancedDrill="1" xr:uid="{A93DC18E-D16A-4BD9-914B-9A7A7F2D348F}">
  <cacheSource type="external" connectionId="5"/>
  <cacheFields count="9">
    <cacheField name="[allstudiop l].[industry].[industry]" caption="industry" numFmtId="0" hierarchy="2" level="1">
      <sharedItems count="2">
        <s v="Bollywood"/>
        <s v="Hollywood"/>
      </sharedItems>
    </cacheField>
    <cacheField name="[allstudiop l].[studio].[studio]" caption="studio" numFmtId="0" hierarchy="5" level="1">
      <sharedItems count="20">
        <s v="Arka Media Works"/>
        <s v="Dharma Productions"/>
        <s v="DVV Entertainment"/>
        <s v="Hombale Films"/>
        <s v="Mythri Movie Makers"/>
        <s v="Salman Khan Films"/>
        <s v="Vinod Chopra Films"/>
        <s v="Vinod Chopra Productions"/>
        <s v="Yash Raj Films"/>
        <s v="Zee Studios"/>
        <s v="20th Century Fox"/>
        <s v="Castle Rock Entertainment"/>
        <s v="Columbia Pictures"/>
        <s v="Marvel Studios"/>
        <s v="Paramount Pictures"/>
        <s v="Syncopy"/>
        <s v="Universal Pictures"/>
        <s v="Warner Bros. Pictures"/>
        <s v="United Producers" u="1"/>
        <s v="Not Available" u="1"/>
      </sharedItems>
    </cacheField>
    <cacheField name="[Measures].[budget $ mln]" caption="budget $ mln" numFmtId="0" hierarchy="23" level="32767"/>
    <cacheField name="[Measures].[revenue $ mln]" caption="revenue $ mln" numFmtId="0" hierarchy="24" level="32767"/>
    <cacheField name="[Measures].[p&amp;l $]" caption="p&amp;l $" numFmtId="0" hierarchy="25" level="32767"/>
    <cacheField name="[Measures].[p&amp;l%]" caption="p&amp;l%" numFmtId="0" hierarchy="26" level="32767"/>
    <cacheField name="[Measures].[p&amp;l target$]" caption="p&amp;l target$" numFmtId="0" hierarchy="27" level="32767"/>
    <cacheField name="[Measures].[actuals - target]" caption="actuals - target" numFmtId="0" hierarchy="29" level="32767"/>
    <cacheField name="[Measures].[actuals - target%]" caption="actuals - target%" numFmtId="0" hierarchy="30" level="32767"/>
  </cacheFields>
  <cacheHierarchies count="34">
    <cacheHierarchy uniqueName="[allstudiop l].[movie_id]" caption="movie_id" attribute="1" defaultMemberUniqueName="[allstudiop l].[movie_id].[All]" allUniqueName="[allstudiop l].[movie_id].[All]" dimensionUniqueName="[allstudiop l]" displayFolder="" count="0" memberValueDatatype="130" unbalanced="0"/>
    <cacheHierarchy uniqueName="[allstudiop l].[title]" caption="title" attribute="1" defaultMemberUniqueName="[allstudiop l].[title].[All]" allUniqueName="[allstudiop l].[title].[All]" dimensionUniqueName="[allstudiop l]" displayFolder="" count="0" memberValueDatatype="130" unbalanced="0"/>
    <cacheHierarchy uniqueName="[allstudiop l].[industry]" caption="industry" attribute="1" defaultMemberUniqueName="[allstudiop l].[industry].[All]" allUniqueName="[allstudiop l].[industry].[All]" dimensionUniqueName="[allstudiop l]" displayFolder="" count="2" memberValueDatatype="130" unbalanced="0">
      <fieldsUsage count="2">
        <fieldUsage x="-1"/>
        <fieldUsage x="0"/>
      </fieldsUsage>
    </cacheHierarchy>
    <cacheHierarchy uniqueName="[allstudiop l].[release_year]" caption="release_year" attribute="1" defaultMemberUniqueName="[allstudiop l].[release_year].[All]" allUniqueName="[allstudiop l].[release_year].[All]" dimensionUniqueName="[allstudiop l]" displayFolder="" count="0" memberValueDatatype="20" unbalanced="0"/>
    <cacheHierarchy uniqueName="[allstudiop l].[imdb_rating]" caption="imdb_rating" attribute="1" defaultMemberUniqueName="[allstudiop l].[imdb_rating].[All]" allUniqueName="[allstudiop l].[imdb_rating].[All]" dimensionUniqueName="[allstudiop l]" displayFolder="" count="0" memberValueDatatype="5" unbalanced="0"/>
    <cacheHierarchy uniqueName="[allstudiop l].[studio]" caption="studio" attribute="1" defaultMemberUniqueName="[allstudiop l].[studio].[All]" allUniqueName="[allstudiop l].[studio].[All]" dimensionUniqueName="[allstudiop l]" displayFolder="" count="2" memberValueDatatype="130" unbalanced="0">
      <fieldsUsage count="2">
        <fieldUsage x="-1"/>
        <fieldUsage x="1"/>
      </fieldsUsage>
    </cacheHierarchy>
    <cacheHierarchy uniqueName="[allstudiop l].[language_id]" caption="language_id" attribute="1" defaultMemberUniqueName="[allstudiop l].[language_id].[All]" allUniqueName="[allstudiop l].[language_id].[All]" dimensionUniqueName="[allstudiop l]" displayFolder="" count="0" memberValueDatatype="20" unbalanced="0"/>
    <cacheHierarchy uniqueName="[allstudiop l].[budget]" caption="budget" attribute="1" defaultMemberUniqueName="[allstudiop l].[budget].[All]" allUniqueName="[allstudiop l].[budget].[All]" dimensionUniqueName="[allstudiop l]" displayFolder="" count="0" memberValueDatatype="5" unbalanced="0"/>
    <cacheHierarchy uniqueName="[allstudiop l].[revenue]" caption="revenue" attribute="1" defaultMemberUniqueName="[allstudiop l].[revenue].[All]" allUniqueName="[allstudiop l].[revenue].[All]" dimensionUniqueName="[allstudiop l]" displayFolder="" count="0" memberValueDatatype="5" unbalanced="0"/>
    <cacheHierarchy uniqueName="[allstudiop l].[unit]" caption="unit" attribute="1" defaultMemberUniqueName="[allstudiop l].[unit].[All]" allUniqueName="[allstudiop l].[unit].[All]" dimensionUniqueName="[allstudiop l]" displayFolder="" count="0" memberValueDatatype="130" unbalanced="0"/>
    <cacheHierarchy uniqueName="[allstudiop l].[currency]" caption="currency" attribute="1" defaultMemberUniqueName="[allstudiop l].[currency].[All]" allUniqueName="[allstudiop l].[currency].[All]" dimensionUniqueName="[allstudiop l]" displayFolder="" count="0" memberValueDatatype="130" unbalanced="0"/>
    <cacheHierarchy uniqueName="[allstudiop l].[factor]" caption="factor" attribute="1" defaultMemberUniqueName="[allstudiop l].[factor].[All]" allUniqueName="[allstudiop l].[factor].[All]" dimensionUniqueName="[allstudiop l]" displayFolder="" count="0" memberValueDatatype="130" unbalanced="0"/>
    <cacheHierarchy uniqueName="[allstudiop l].[budget (in millions)]" caption="budget (in millions)" attribute="1" defaultMemberUniqueName="[allstudiop l].[budget (in millions)].[All]" allUniqueName="[allstudiop l].[budget (in millions)].[All]" dimensionUniqueName="[allstudiop l]" displayFolder="" count="0" memberValueDatatype="20" unbalanced="0"/>
    <cacheHierarchy uniqueName="[allstudiop l].[revenue (in millions)]" caption="revenue (in millions)" attribute="1" defaultMemberUniqueName="[allstudiop l].[revenue (in millions)].[All]" allUniqueName="[allstudiop l].[revenue (in millions)].[All]" dimensionUniqueName="[allstudiop l]" displayFolder="" count="0" memberValueDatatype="130" unbalanced="0"/>
    <cacheHierarchy uniqueName="[allstudiop l].[budget (in INR)]" caption="budget (in INR)" attribute="1" defaultMemberUniqueName="[allstudiop l].[budget (in INR)].[All]" allUniqueName="[allstudiop l].[budget (in INR)].[All]" dimensionUniqueName="[allstudiop l]" displayFolder="" count="0" memberValueDatatype="5" unbalanced="0"/>
    <cacheHierarchy uniqueName="[allstudiop l].[revenue (in INR)]" caption="revenue (in INR)" attribute="1" defaultMemberUniqueName="[allstudiop l].[revenue (in INR)].[All]" allUniqueName="[allstudiop l].[revenue (in INR)].[All]" dimensionUniqueName="[allstudiop l]" displayFolder="" count="0" memberValueDatatype="5" unbalanced="0"/>
    <cacheHierarchy uniqueName="[allstudiop l].[budget (in USD)]" caption="budget (in USD)" attribute="1" defaultMemberUniqueName="[allstudiop l].[budget (in USD)].[All]" allUniqueName="[allstudiop l].[budget (in USD)].[All]" dimensionUniqueName="[allstudiop l]" displayFolder="" count="0" memberValueDatatype="5" unbalanced="0"/>
    <cacheHierarchy uniqueName="[allstudiop l].[revenue (in USD)]" caption="revenue (in USD)" attribute="1" defaultMemberUniqueName="[allstudiop l].[revenue (in USD)].[All]" allUniqueName="[allstudiop l].[revenue (in USD)].[All]" dimensionUniqueName="[allstudiop l]" displayFolder="" count="0" memberValueDatatype="5" unbalanced="0"/>
    <cacheHierarchy uniqueName="[allstudiop l].[profit/ loss]" caption="profit/ loss" attribute="1" defaultMemberUniqueName="[allstudiop l].[profit/ loss].[All]" allUniqueName="[allstudiop l].[profit/ loss].[All]" dimensionUniqueName="[allstudiop l]" displayFolder="" count="0" memberValueDatatype="5" unbalanced="0"/>
    <cacheHierarchy uniqueName="[allstudiop l].[p&amp;l target]" caption="p&amp;l target" attribute="1" defaultMemberUniqueName="[allstudiop l].[p&amp;l target].[All]" allUniqueName="[allstudiop l].[p&amp;l target].[All]" dimensionUniqueName="[allstudiop l]" displayFolder="" count="0" memberValueDatatype="5" unbalanced="0"/>
    <cacheHierarchy uniqueName="[target].[studio]" caption="studio" attribute="1" defaultMemberUniqueName="[target].[studio].[All]" allUniqueName="[target].[studio].[All]" dimensionUniqueName="[target]" displayFolder="" count="0" memberValueDatatype="130" unbalanced="0"/>
    <cacheHierarchy uniqueName="[target].[target]" caption="target" attribute="1" defaultMemberUniqueName="[target].[target].[All]" allUniqueName="[target].[target].[All]" dimensionUniqueName="[target]" displayFolder="" count="0" memberValueDatatype="5" unbalanced="0"/>
    <cacheHierarchy uniqueName="[Measures].[Sum of budget (in USD)]" caption="Sum of budget (in USD)" measure="1" displayFolder="" measureGroup="allstudiop l" count="0">
      <extLst>
        <ext xmlns:x15="http://schemas.microsoft.com/office/spreadsheetml/2010/11/main" uri="{B97F6D7D-B522-45F9-BDA1-12C45D357490}">
          <x15:cacheHierarchy aggregatedColumn="16"/>
        </ext>
      </extLst>
    </cacheHierarchy>
    <cacheHierarchy uniqueName="[Measures].[budget $ mln]" caption="budget $ mln" measure="1" displayFolder="" measureGroup="allstudiop l" count="0" oneField="1">
      <fieldsUsage count="1">
        <fieldUsage x="2"/>
      </fieldsUsage>
    </cacheHierarchy>
    <cacheHierarchy uniqueName="[Measures].[revenue $ mln]" caption="revenue $ mln" measure="1" displayFolder="" measureGroup="allstudiop l" count="0" oneField="1">
      <fieldsUsage count="1">
        <fieldUsage x="3"/>
      </fieldsUsage>
    </cacheHierarchy>
    <cacheHierarchy uniqueName="[Measures].[p&amp;l $]" caption="p&amp;l $" measure="1" displayFolder="" measureGroup="allstudiop l" count="0" oneField="1">
      <fieldsUsage count="1">
        <fieldUsage x="4"/>
      </fieldsUsage>
    </cacheHierarchy>
    <cacheHierarchy uniqueName="[Measures].[p&amp;l%]" caption="p&amp;l%" measure="1" displayFolder="" measureGroup="allstudiop l" count="0" oneField="1">
      <fieldsUsage count="1">
        <fieldUsage x="5"/>
      </fieldsUsage>
    </cacheHierarchy>
    <cacheHierarchy uniqueName="[Measures].[p&amp;l target$]" caption="p&amp;l target$" measure="1" displayFolder="" measureGroup="allstudiop l" count="0" oneField="1">
      <fieldsUsage count="1">
        <fieldUsage x="6"/>
      </fieldsUsage>
    </cacheHierarchy>
    <cacheHierarchy uniqueName="[Measures].[max p&amp;l target]" caption="max p&amp;l target" measure="1" displayFolder="" measureGroup="allstudiop l" count="0"/>
    <cacheHierarchy uniqueName="[Measures].[actuals - target]" caption="actuals - target" measure="1" displayFolder="" measureGroup="allstudiop l" count="0" oneField="1">
      <fieldsUsage count="1">
        <fieldUsage x="7"/>
      </fieldsUsage>
    </cacheHierarchy>
    <cacheHierarchy uniqueName="[Measures].[actuals - target%]" caption="actuals - target%" measure="1" displayFolder="" measureGroup="allstudiop l" count="0" oneField="1">
      <fieldsUsage count="1">
        <fieldUsage x="8"/>
      </fieldsUsage>
    </cacheHierarchy>
    <cacheHierarchy uniqueName="[Measures].[__XL_Count target]" caption="__XL_Count target" measure="1" displayFolder="" measureGroup="target" count="0" hidden="1"/>
    <cacheHierarchy uniqueName="[Measures].[__XL_Count allstudiop l]" caption="__XL_Count allstudiop l" measure="1" displayFolder="" measureGroup="allstudiop l" count="0" hidden="1"/>
    <cacheHierarchy uniqueName="[Measures].[__No measures defined]" caption="__No measures defined" measure="1" displayFolder="" count="0" hidden="1"/>
  </cacheHierarchies>
  <kpis count="0"/>
  <dimensions count="3">
    <dimension name="allstudiop l" uniqueName="[allstudiop l]" caption="allstudiop l"/>
    <dimension measure="1" name="Measures" uniqueName="[Measures]" caption="Measures"/>
    <dimension name="target" uniqueName="[target]" caption="target"/>
  </dimensions>
  <measureGroups count="2">
    <measureGroup name="allstudiop l" caption="allstudiop l"/>
    <measureGroup name="target" caption="target"/>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s v="101"/>
    <x v="0"/>
    <x v="0"/>
    <x v="0"/>
    <x v="0"/>
    <x v="0"/>
    <x v="0"/>
    <n v="1"/>
    <n v="12.5"/>
    <x v="0"/>
    <x v="0"/>
    <x v="0"/>
    <n v="1000"/>
    <n v="12500"/>
    <n v="1000"/>
    <n v="12500"/>
    <n v="12.5"/>
    <n v="156.25"/>
    <n v="143.75"/>
  </r>
  <r>
    <s v="102"/>
    <x v="1"/>
    <x v="1"/>
    <x v="0"/>
    <x v="1"/>
    <x v="1"/>
    <x v="1"/>
    <n v="200"/>
    <n v="954.8"/>
    <x v="1"/>
    <x v="1"/>
    <x v="1"/>
    <n v="200"/>
    <n v="954.8"/>
    <n v="16000"/>
    <n v="76384"/>
    <n v="200"/>
    <n v="954.8"/>
    <n v="754.8"/>
  </r>
  <r>
    <s v="103"/>
    <x v="2"/>
    <x v="1"/>
    <x v="1"/>
    <x v="2"/>
    <x v="1"/>
    <x v="1"/>
    <n v="165"/>
    <n v="644.79999999999995"/>
    <x v="1"/>
    <x v="1"/>
    <x v="1"/>
    <n v="165"/>
    <n v="644.79999999999995"/>
    <n v="13200"/>
    <n v="51584"/>
    <n v="165"/>
    <n v="644.79999999999995"/>
    <n v="479.8"/>
  </r>
  <r>
    <s v="104"/>
    <x v="3"/>
    <x v="1"/>
    <x v="2"/>
    <x v="3"/>
    <x v="1"/>
    <x v="1"/>
    <n v="180"/>
    <n v="854"/>
    <x v="1"/>
    <x v="1"/>
    <x v="1"/>
    <n v="180"/>
    <n v="854"/>
    <n v="14400"/>
    <n v="68320"/>
    <n v="180"/>
    <n v="854"/>
    <n v="674"/>
  </r>
  <r>
    <s v="105"/>
    <x v="4"/>
    <x v="1"/>
    <x v="0"/>
    <x v="2"/>
    <x v="1"/>
    <x v="1"/>
    <n v="250"/>
    <n v="670"/>
    <x v="1"/>
    <x v="1"/>
    <x v="1"/>
    <n v="250"/>
    <n v="670"/>
    <n v="20000"/>
    <n v="53600"/>
    <n v="250"/>
    <n v="670"/>
    <n v="420"/>
  </r>
  <r>
    <s v="107"/>
    <x v="5"/>
    <x v="0"/>
    <x v="3"/>
    <x v="4"/>
    <x v="2"/>
    <x v="2"/>
    <n v="400"/>
    <n v="2000"/>
    <x v="1"/>
    <x v="0"/>
    <x v="1"/>
    <n v="400"/>
    <n v="2000"/>
    <n v="400"/>
    <n v="2000"/>
    <n v="5"/>
    <n v="25"/>
    <n v="20"/>
  </r>
  <r>
    <s v="108"/>
    <x v="6"/>
    <x v="0"/>
    <x v="4"/>
    <x v="0"/>
    <x v="3"/>
    <x v="2"/>
    <n v="550"/>
    <n v="4000"/>
    <x v="1"/>
    <x v="0"/>
    <x v="1"/>
    <n v="550"/>
    <n v="4000"/>
    <n v="550"/>
    <n v="4000"/>
    <n v="6.875"/>
    <n v="50"/>
    <n v="43.125"/>
  </r>
  <r>
    <s v="109"/>
    <x v="7"/>
    <x v="0"/>
    <x v="5"/>
    <x v="5"/>
    <x v="4"/>
    <x v="2"/>
    <n v="390"/>
    <n v="1360"/>
    <x v="1"/>
    <x v="0"/>
    <x v="1"/>
    <n v="390"/>
    <n v="1360"/>
    <n v="390"/>
    <n v="1360"/>
    <n v="4.875"/>
    <n v="17"/>
    <n v="12.125"/>
  </r>
  <r>
    <s v="110"/>
    <x v="8"/>
    <x v="0"/>
    <x v="6"/>
    <x v="6"/>
    <x v="5"/>
    <x v="2"/>
    <n v="1.4"/>
    <n v="3.5"/>
    <x v="0"/>
    <x v="0"/>
    <x v="0"/>
    <n v="1400"/>
    <n v="3500"/>
    <n v="1400"/>
    <n v="3500"/>
    <n v="17.5"/>
    <n v="43.75"/>
    <n v="26.25"/>
  </r>
  <r>
    <s v="111"/>
    <x v="9"/>
    <x v="1"/>
    <x v="7"/>
    <x v="7"/>
    <x v="6"/>
    <x v="1"/>
    <n v="25"/>
    <n v="73.3"/>
    <x v="1"/>
    <x v="1"/>
    <x v="1"/>
    <n v="25"/>
    <n v="73.3"/>
    <n v="2000"/>
    <n v="5864"/>
    <n v="25"/>
    <n v="73.3"/>
    <n v="48.3"/>
  </r>
  <r>
    <s v="113"/>
    <x v="10"/>
    <x v="1"/>
    <x v="8"/>
    <x v="8"/>
    <x v="7"/>
    <x v="1"/>
    <n v="165"/>
    <n v="701.8"/>
    <x v="1"/>
    <x v="1"/>
    <x v="1"/>
    <n v="165"/>
    <n v="701.8"/>
    <n v="13200"/>
    <n v="56144"/>
    <n v="165"/>
    <n v="701.8"/>
    <n v="536.79999999999995"/>
  </r>
  <r>
    <s v="115"/>
    <x v="11"/>
    <x v="1"/>
    <x v="9"/>
    <x v="4"/>
    <x v="8"/>
    <x v="1"/>
    <n v="55"/>
    <n v="307.10000000000002"/>
    <x v="1"/>
    <x v="1"/>
    <x v="1"/>
    <n v="55"/>
    <n v="307.10000000000002"/>
    <n v="4400"/>
    <n v="24568"/>
    <n v="55"/>
    <n v="307.10000000000002"/>
    <n v="252.1"/>
  </r>
  <r>
    <s v="116"/>
    <x v="12"/>
    <x v="1"/>
    <x v="10"/>
    <x v="9"/>
    <x v="9"/>
    <x v="1"/>
    <n v="103"/>
    <n v="460.5"/>
    <x v="1"/>
    <x v="1"/>
    <x v="1"/>
    <n v="103"/>
    <n v="460.5"/>
    <n v="8240"/>
    <n v="36840"/>
    <n v="103"/>
    <n v="460.5"/>
    <n v="357.5"/>
  </r>
  <r>
    <s v="117"/>
    <x v="13"/>
    <x v="1"/>
    <x v="11"/>
    <x v="3"/>
    <x v="10"/>
    <x v="1"/>
    <n v="200"/>
    <n v="2202"/>
    <x v="1"/>
    <x v="1"/>
    <x v="1"/>
    <n v="200"/>
    <n v="2202"/>
    <n v="16000"/>
    <n v="176160"/>
    <n v="200"/>
    <n v="2202"/>
    <n v="2002"/>
  </r>
  <r>
    <s v="118"/>
    <x v="14"/>
    <x v="1"/>
    <x v="12"/>
    <x v="8"/>
    <x v="11"/>
    <x v="1"/>
    <n v="3.18"/>
    <n v="3.3"/>
    <x v="1"/>
    <x v="1"/>
    <x v="1"/>
    <n v="3"/>
    <n v="3.3"/>
    <n v="254.4"/>
    <n v="264"/>
    <n v="3.18"/>
    <n v="3.3"/>
    <n v="0.12"/>
  </r>
  <r>
    <s v="119"/>
    <x v="15"/>
    <x v="1"/>
    <x v="4"/>
    <x v="10"/>
    <x v="12"/>
    <x v="1"/>
    <n v="237"/>
    <n v="2847"/>
    <x v="1"/>
    <x v="1"/>
    <x v="1"/>
    <n v="237"/>
    <n v="2847"/>
    <n v="18960"/>
    <n v="227760"/>
    <n v="237"/>
    <n v="2847"/>
    <n v="2610"/>
  </r>
  <r>
    <s v="120"/>
    <x v="16"/>
    <x v="1"/>
    <x v="13"/>
    <x v="11"/>
    <x v="10"/>
    <x v="1"/>
    <n v="7.2"/>
    <n v="291"/>
    <x v="1"/>
    <x v="1"/>
    <x v="1"/>
    <n v="7"/>
    <n v="291"/>
    <n v="576"/>
    <n v="23280"/>
    <n v="7.2"/>
    <n v="291"/>
    <n v="283.8"/>
  </r>
  <r>
    <s v="121"/>
    <x v="17"/>
    <x v="1"/>
    <x v="14"/>
    <x v="12"/>
    <x v="13"/>
    <x v="1"/>
    <n v="185"/>
    <n v="1006"/>
    <x v="1"/>
    <x v="1"/>
    <x v="1"/>
    <n v="185"/>
    <n v="1006"/>
    <n v="14800"/>
    <n v="80480"/>
    <n v="185"/>
    <n v="1006"/>
    <n v="821"/>
  </r>
  <r>
    <s v="122"/>
    <x v="18"/>
    <x v="1"/>
    <x v="15"/>
    <x v="12"/>
    <x v="9"/>
    <x v="1"/>
    <n v="22"/>
    <n v="322.2"/>
    <x v="1"/>
    <x v="1"/>
    <x v="1"/>
    <n v="22"/>
    <n v="322.2"/>
    <n v="1760"/>
    <n v="25776"/>
    <n v="22"/>
    <n v="322.2"/>
    <n v="300.2"/>
  </r>
  <r>
    <s v="123"/>
    <x v="19"/>
    <x v="1"/>
    <x v="15"/>
    <x v="13"/>
    <x v="9"/>
    <x v="1"/>
    <n v="63"/>
    <n v="1046"/>
    <x v="1"/>
    <x v="1"/>
    <x v="1"/>
    <n v="63"/>
    <n v="1046"/>
    <n v="5040"/>
    <n v="83680"/>
    <n v="63"/>
    <n v="1046"/>
    <n v="983"/>
  </r>
  <r>
    <s v="124"/>
    <x v="20"/>
    <x v="1"/>
    <x v="16"/>
    <x v="9"/>
    <x v="5"/>
    <x v="1"/>
    <n v="15.5"/>
    <n v="263.10000000000002"/>
    <x v="1"/>
    <x v="1"/>
    <x v="1"/>
    <n v="16"/>
    <n v="263.10000000000002"/>
    <n v="1240"/>
    <n v="21048"/>
    <n v="15.5"/>
    <n v="263.10000000000002"/>
    <n v="247.6"/>
  </r>
  <r>
    <s v="125"/>
    <x v="21"/>
    <x v="1"/>
    <x v="16"/>
    <x v="0"/>
    <x v="1"/>
    <x v="1"/>
    <n v="400"/>
    <n v="2798"/>
    <x v="1"/>
    <x v="1"/>
    <x v="1"/>
    <n v="400"/>
    <n v="2798"/>
    <n v="32000"/>
    <n v="223840"/>
    <n v="400"/>
    <n v="2798"/>
    <n v="2398"/>
  </r>
  <r>
    <s v="126"/>
    <x v="22"/>
    <x v="1"/>
    <x v="17"/>
    <x v="0"/>
    <x v="1"/>
    <x v="1"/>
    <n v="400"/>
    <n v="2048"/>
    <x v="1"/>
    <x v="1"/>
    <x v="1"/>
    <n v="400"/>
    <n v="2048"/>
    <n v="32000"/>
    <n v="163840"/>
    <n v="400"/>
    <n v="2048"/>
    <n v="1648"/>
  </r>
  <r>
    <s v="127"/>
    <x v="23"/>
    <x v="0"/>
    <x v="18"/>
    <x v="14"/>
    <x v="14"/>
    <x v="3"/>
    <n v="70"/>
    <n v="100"/>
    <x v="1"/>
    <x v="0"/>
    <x v="1"/>
    <n v="70"/>
    <n v="100"/>
    <n v="70"/>
    <n v="100"/>
    <n v="0.875"/>
    <n v="1.25"/>
    <n v="0.375"/>
  </r>
  <r>
    <s v="128"/>
    <x v="24"/>
    <x v="0"/>
    <x v="19"/>
    <x v="14"/>
    <x v="5"/>
    <x v="2"/>
    <n v="120"/>
    <n v="1350"/>
    <x v="1"/>
    <x v="0"/>
    <x v="1"/>
    <n v="120"/>
    <n v="1350"/>
    <n v="120"/>
    <n v="1350"/>
    <n v="1.5"/>
    <n v="16.875"/>
    <n v="15.375"/>
  </r>
  <r>
    <s v="129"/>
    <x v="25"/>
    <x v="0"/>
    <x v="20"/>
    <x v="15"/>
    <x v="15"/>
    <x v="2"/>
    <n v="100"/>
    <n v="410"/>
    <x v="1"/>
    <x v="0"/>
    <x v="1"/>
    <n v="100"/>
    <n v="410"/>
    <n v="100"/>
    <n v="410"/>
    <n v="1.25"/>
    <n v="5.125"/>
    <n v="3.875"/>
  </r>
  <r>
    <s v="130"/>
    <x v="26"/>
    <x v="0"/>
    <x v="8"/>
    <x v="15"/>
    <x v="3"/>
    <x v="2"/>
    <n v="850"/>
    <n v="8540"/>
    <x v="1"/>
    <x v="0"/>
    <x v="1"/>
    <n v="850"/>
    <n v="8540"/>
    <n v="850"/>
    <n v="8540"/>
    <n v="10.625"/>
    <n v="106.75"/>
    <n v="96.125"/>
  </r>
  <r>
    <s v="131"/>
    <x v="27"/>
    <x v="0"/>
    <x v="17"/>
    <x v="16"/>
    <x v="3"/>
    <x v="2"/>
    <n v="1"/>
    <n v="5.9"/>
    <x v="0"/>
    <x v="0"/>
    <x v="0"/>
    <n v="1000"/>
    <n v="5900"/>
    <n v="1000"/>
    <n v="5900"/>
    <n v="12.5"/>
    <n v="73.75"/>
    <n v="61.25"/>
  </r>
  <r>
    <s v="132"/>
    <x v="28"/>
    <x v="0"/>
    <x v="21"/>
    <x v="17"/>
    <x v="16"/>
    <x v="4"/>
    <n v="2"/>
    <n v="3.6"/>
    <x v="0"/>
    <x v="0"/>
    <x v="0"/>
    <n v="2000"/>
    <n v="3600"/>
    <n v="2000"/>
    <n v="3600"/>
    <n v="25"/>
    <n v="45"/>
    <n v="20"/>
  </r>
  <r>
    <s v="133"/>
    <x v="29"/>
    <x v="0"/>
    <x v="0"/>
    <x v="4"/>
    <x v="17"/>
    <x v="4"/>
    <n v="5.5"/>
    <n v="12"/>
    <x v="0"/>
    <x v="0"/>
    <x v="0"/>
    <n v="5500"/>
    <n v="12000"/>
    <n v="5500"/>
    <n v="12000"/>
    <n v="68.75"/>
    <n v="150"/>
    <n v="81.25"/>
  </r>
  <r>
    <s v="134"/>
    <x v="30"/>
    <x v="0"/>
    <x v="6"/>
    <x v="4"/>
    <x v="18"/>
    <x v="4"/>
    <n v="1.8"/>
    <n v="6.5"/>
    <x v="0"/>
    <x v="0"/>
    <x v="0"/>
    <n v="1800"/>
    <n v="6500"/>
    <n v="1800"/>
    <n v="6500"/>
    <n v="22.5"/>
    <n v="81.25"/>
    <n v="58.75"/>
  </r>
  <r>
    <s v="135"/>
    <x v="31"/>
    <x v="0"/>
    <x v="0"/>
    <x v="14"/>
    <x v="19"/>
    <x v="2"/>
    <n v="250"/>
    <n v="3409"/>
    <x v="1"/>
    <x v="0"/>
    <x v="1"/>
    <n v="250"/>
    <n v="3409"/>
    <n v="250"/>
    <n v="3409"/>
    <n v="3.125"/>
    <n v="42.612499999999997"/>
    <n v="39.487499999999997"/>
  </r>
  <r>
    <s v="136"/>
    <x v="32"/>
    <x v="0"/>
    <x v="6"/>
    <x v="15"/>
    <x v="20"/>
    <x v="2"/>
    <n v="900"/>
    <n v="11690"/>
    <x v="1"/>
    <x v="0"/>
    <x v="1"/>
    <n v="900"/>
    <n v="11690"/>
    <n v="900"/>
    <n v="11690"/>
    <n v="11.25"/>
    <n v="146.125"/>
    <n v="134.875"/>
  </r>
  <r>
    <s v="137"/>
    <x v="33"/>
    <x v="1"/>
    <x v="22"/>
    <x v="18"/>
    <x v="1"/>
    <x v="1"/>
    <n v="216.7"/>
    <n v="370.6"/>
    <x v="1"/>
    <x v="1"/>
    <x v="1"/>
    <n v="217"/>
    <n v="370.6"/>
    <n v="17336"/>
    <n v="29648"/>
    <n v="216.7"/>
    <n v="370.6"/>
    <n v="153.9"/>
  </r>
  <r>
    <s v="138"/>
    <x v="34"/>
    <x v="1"/>
    <x v="8"/>
    <x v="10"/>
    <x v="1"/>
    <x v="1"/>
    <n v="177"/>
    <n v="714.4"/>
    <x v="1"/>
    <x v="1"/>
    <x v="1"/>
    <n v="177"/>
    <n v="714.4"/>
    <n v="14160"/>
    <n v="57152"/>
    <n v="177"/>
    <n v="714.4"/>
    <n v="537.4"/>
  </r>
  <r>
    <s v="139"/>
    <x v="35"/>
    <x v="0"/>
    <x v="17"/>
    <x v="19"/>
    <x v="20"/>
    <x v="2"/>
    <n v="1.8"/>
    <n v="3.1"/>
    <x v="0"/>
    <x v="0"/>
    <x v="0"/>
    <n v="1800"/>
    <n v="3100"/>
    <n v="1800"/>
    <n v="3100"/>
    <n v="22.5"/>
    <n v="38.75"/>
    <n v="16.25"/>
  </r>
  <r>
    <s v="140"/>
    <x v="36"/>
    <x v="0"/>
    <x v="21"/>
    <x v="0"/>
    <x v="4"/>
    <x v="2"/>
    <n v="500"/>
    <n v="950"/>
    <x v="1"/>
    <x v="0"/>
    <x v="1"/>
    <n v="500"/>
    <n v="950"/>
    <n v="500"/>
    <n v="950"/>
    <n v="6.25"/>
    <n v="11.875"/>
    <n v="5.625"/>
  </r>
  <r>
    <s v="106"/>
    <x v="37"/>
    <x v="0"/>
    <x v="23"/>
    <x v="15"/>
    <x v="21"/>
    <x v="2"/>
    <m/>
    <m/>
    <x v="2"/>
    <x v="2"/>
    <x v="1"/>
    <m/>
    <m/>
    <m/>
    <m/>
    <m/>
    <m/>
    <m/>
  </r>
  <r>
    <s v="112"/>
    <x v="38"/>
    <x v="1"/>
    <x v="24"/>
    <x v="20"/>
    <x v="7"/>
    <x v="1"/>
    <m/>
    <m/>
    <x v="2"/>
    <x v="2"/>
    <x v="1"/>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2337B9-66DA-46F3-A368-495B6222AE89}" name="PivotTable4" cacheId="16" applyNumberFormats="0" applyBorderFormats="0" applyFontFormats="0" applyPatternFormats="0" applyAlignmentFormats="0" applyWidthHeightFormats="1" dataCaption="Values" tag="96303055-81d7-4215-a546-50a55e81d0e1" updatedVersion="8" minRefreshableVersion="3" useAutoFormatting="1" subtotalHiddenItems="1" itemPrintTitles="1" createdVersion="8" indent="0" outline="1" outlineData="1" multipleFieldFilters="0" rowHeaderCaption="">
  <location ref="A3:H24" firstHeaderRow="0" firstDataRow="1" firstDataCol="1"/>
  <pivotFields count="9">
    <pivotField axis="axisRow" allDrilled="1" showAll="0" dataSourceSort="1" defaultAttributeDrillState="1">
      <items count="3">
        <item x="0"/>
        <item x="1"/>
        <item t="default"/>
      </items>
    </pivotField>
    <pivotField axis="axisRow" allDrilled="1" showAll="0" dataSourceSort="1" defaultAttributeDrillState="1">
      <items count="21">
        <item s="1" x="0"/>
        <item s="1" x="1"/>
        <item s="1" x="2"/>
        <item s="1" x="3"/>
        <item s="1" x="4"/>
        <item s="1" x="5"/>
        <item s="1" x="6"/>
        <item s="1" x="7"/>
        <item s="1" x="8"/>
        <item s="1" x="9"/>
        <item s="1" x="10"/>
        <item s="1" x="11"/>
        <item s="1" x="12"/>
        <item s="1" x="13"/>
        <item s="1" x="14"/>
        <item s="1" x="15"/>
        <item s="1" x="16"/>
        <item s="1" x="17"/>
        <item s="1" x="18"/>
        <item x="19"/>
        <item t="default"/>
      </items>
    </pivotField>
    <pivotField dataField="1" showAll="0"/>
    <pivotField dataField="1" showAll="0"/>
    <pivotField dataField="1" showAll="0"/>
    <pivotField dataField="1" showAll="0"/>
    <pivotField dataField="1" showAll="0"/>
    <pivotField dataField="1" showAll="0"/>
    <pivotField dataField="1" showAll="0"/>
  </pivotFields>
  <rowFields count="2">
    <field x="0"/>
    <field x="1"/>
  </rowFields>
  <rowItems count="21">
    <i>
      <x/>
    </i>
    <i r="1">
      <x/>
    </i>
    <i r="1">
      <x v="1"/>
    </i>
    <i r="1">
      <x v="2"/>
    </i>
    <i r="1">
      <x v="3"/>
    </i>
    <i r="1">
      <x v="4"/>
    </i>
    <i r="1">
      <x v="5"/>
    </i>
    <i r="1">
      <x v="6"/>
    </i>
    <i r="1">
      <x v="7"/>
    </i>
    <i r="1">
      <x v="8"/>
    </i>
    <i r="1">
      <x v="9"/>
    </i>
    <i>
      <x v="1"/>
    </i>
    <i r="1">
      <x v="10"/>
    </i>
    <i r="1">
      <x v="11"/>
    </i>
    <i r="1">
      <x v="12"/>
    </i>
    <i r="1">
      <x v="13"/>
    </i>
    <i r="1">
      <x v="14"/>
    </i>
    <i r="1">
      <x v="15"/>
    </i>
    <i r="1">
      <x v="16"/>
    </i>
    <i r="1">
      <x v="17"/>
    </i>
    <i t="grand">
      <x/>
    </i>
  </rowItems>
  <colFields count="1">
    <field x="-2"/>
  </colFields>
  <colItems count="7">
    <i>
      <x/>
    </i>
    <i i="1">
      <x v="1"/>
    </i>
    <i i="2">
      <x v="2"/>
    </i>
    <i i="3">
      <x v="3"/>
    </i>
    <i i="4">
      <x v="4"/>
    </i>
    <i i="5">
      <x v="5"/>
    </i>
    <i i="6">
      <x v="6"/>
    </i>
  </colItems>
  <dataFields count="7">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s>
  <formats count="6">
    <format dxfId="0">
      <pivotArea type="all" dataOnly="0" outline="0" fieldPosition="0"/>
    </format>
    <format dxfId="1">
      <pivotArea outline="0" collapsedLevelsAreSubtotals="1" fieldPosition="0"/>
    </format>
    <format dxfId="2">
      <pivotArea field="0" type="button" dataOnly="0" labelOnly="1" outline="0" axis="axisRow" fieldPosition="0"/>
    </format>
    <format dxfId="3">
      <pivotArea dataOnly="0" labelOnly="1" fieldPosition="0">
        <references count="1">
          <reference field="0" count="0"/>
        </references>
      </pivotArea>
    </format>
    <format dxfId="4">
      <pivotArea dataOnly="0" labelOnly="1" fieldPosition="0">
        <references count="2">
          <reference field="0" count="1" selected="0">
            <x v="0"/>
          </reference>
          <reference field="1" count="11">
            <x v="0"/>
            <x v="1"/>
            <x v="2"/>
            <x v="3"/>
            <x v="4"/>
            <x v="5"/>
            <x v="6"/>
            <x v="7"/>
            <x v="8"/>
            <x v="9"/>
            <x v="19"/>
          </reference>
        </references>
      </pivotArea>
    </format>
    <format dxfId="5">
      <pivotArea dataOnly="0" labelOnly="1" fieldPosition="0">
        <references count="2">
          <reference field="0" count="1" selected="0">
            <x v="1"/>
          </reference>
          <reference field="1" count="9">
            <x v="10"/>
            <x v="11"/>
            <x v="12"/>
            <x v="13"/>
            <x v="14"/>
            <x v="15"/>
            <x v="16"/>
            <x v="17"/>
            <x v="19"/>
          </reference>
        </references>
      </pivotArea>
    </format>
  </formats>
  <conditionalFormats count="1">
    <conditionalFormat scope="data" priority="1">
      <pivotAreas count="1">
        <pivotArea outline="0" fieldPosition="0">
          <references count="1">
            <reference field="4294967294" count="1" selected="0">
              <x v="6"/>
            </reference>
          </references>
        </pivotArea>
      </pivotAreas>
    </conditionalFormat>
  </conditional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5" showRowHeaders="1" showColHeaders="1" showRowStripes="0" showColStripes="0" showLastColumn="1"/>
  <rowHierarchiesUsage count="2">
    <rowHierarchyUsage hierarchyUsage="2"/>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studiop l]"/>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C6E43E-BCDC-4A61-987F-F42C1983452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A5:E66" firstHeaderRow="0" firstDataRow="1" firstDataCol="1" rowPageCount="1" colPageCount="1"/>
  <pivotFields count="19">
    <pivotField showAll="0"/>
    <pivotField axis="axisRow" showAll="0">
      <items count="40">
        <item x="6"/>
        <item x="9"/>
        <item x="15"/>
        <item x="4"/>
        <item x="21"/>
        <item x="22"/>
        <item x="30"/>
        <item x="8"/>
        <item x="32"/>
        <item x="33"/>
        <item x="34"/>
        <item x="5"/>
        <item x="1"/>
        <item x="12"/>
        <item x="38"/>
        <item x="10"/>
        <item x="14"/>
        <item x="19"/>
        <item x="0"/>
        <item x="7"/>
        <item x="25"/>
        <item x="20"/>
        <item x="23"/>
        <item x="26"/>
        <item x="28"/>
        <item x="35"/>
        <item x="29"/>
        <item x="27"/>
        <item x="18"/>
        <item x="36"/>
        <item x="37"/>
        <item x="24"/>
        <item x="17"/>
        <item x="16"/>
        <item x="31"/>
        <item x="11"/>
        <item x="3"/>
        <item x="2"/>
        <item x="13"/>
        <item t="default"/>
      </items>
    </pivotField>
    <pivotField multipleItemSelectionAllowed="1" showAll="0">
      <items count="3">
        <item x="0"/>
        <item x="1"/>
        <item t="default"/>
      </items>
    </pivotField>
    <pivotField axis="axisPage" showAll="0">
      <items count="26">
        <item x="12"/>
        <item x="18"/>
        <item x="13"/>
        <item x="23"/>
        <item x="15"/>
        <item x="7"/>
        <item x="3"/>
        <item x="11"/>
        <item x="10"/>
        <item x="5"/>
        <item x="20"/>
        <item x="9"/>
        <item x="19"/>
        <item x="14"/>
        <item x="4"/>
        <item x="24"/>
        <item x="22"/>
        <item x="1"/>
        <item x="8"/>
        <item x="6"/>
        <item x="2"/>
        <item x="17"/>
        <item x="16"/>
        <item x="21"/>
        <item x="0"/>
        <item t="default"/>
      </items>
    </pivotField>
    <pivotField dataField="1" showAll="0"/>
    <pivotField axis="axisRow" showAll="0" sortType="descending">
      <items count="23">
        <item x="12"/>
        <item x="18"/>
        <item x="6"/>
        <item x="8"/>
        <item x="4"/>
        <item x="17"/>
        <item x="14"/>
        <item x="0"/>
        <item x="11"/>
        <item x="1"/>
        <item x="16"/>
        <item x="5"/>
        <item x="10"/>
        <item x="20"/>
        <item x="13"/>
        <item x="21"/>
        <item x="9"/>
        <item x="3"/>
        <item x="15"/>
        <item x="7"/>
        <item x="2"/>
        <item x="19"/>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s>
  <rowFields count="2">
    <field x="5"/>
    <field x="1"/>
  </rowFields>
  <rowItems count="61">
    <i>
      <x v="9"/>
    </i>
    <i r="1">
      <x v="3"/>
    </i>
    <i r="1">
      <x v="4"/>
    </i>
    <i r="1">
      <x v="5"/>
    </i>
    <i r="1">
      <x v="9"/>
    </i>
    <i r="1">
      <x v="10"/>
    </i>
    <i r="1">
      <x v="12"/>
    </i>
    <i r="1">
      <x v="36"/>
    </i>
    <i r="1">
      <x v="37"/>
    </i>
    <i>
      <x/>
    </i>
    <i r="1">
      <x v="2"/>
    </i>
    <i>
      <x v="12"/>
    </i>
    <i r="1">
      <x v="33"/>
    </i>
    <i r="1">
      <x v="38"/>
    </i>
    <i>
      <x v="16"/>
    </i>
    <i r="1">
      <x v="13"/>
    </i>
    <i r="1">
      <x v="17"/>
    </i>
    <i r="1">
      <x v="28"/>
    </i>
    <i>
      <x v="14"/>
    </i>
    <i r="1">
      <x v="32"/>
    </i>
    <i>
      <x v="19"/>
    </i>
    <i r="1">
      <x v="14"/>
    </i>
    <i r="1">
      <x v="15"/>
    </i>
    <i>
      <x v="11"/>
    </i>
    <i r="1">
      <x v="7"/>
    </i>
    <i r="1">
      <x v="21"/>
    </i>
    <i r="1">
      <x v="31"/>
    </i>
    <i>
      <x v="3"/>
    </i>
    <i r="1">
      <x v="35"/>
    </i>
    <i>
      <x v="17"/>
    </i>
    <i r="1">
      <x/>
    </i>
    <i r="1">
      <x v="23"/>
    </i>
    <i r="1">
      <x v="27"/>
    </i>
    <i>
      <x v="13"/>
    </i>
    <i r="1">
      <x v="8"/>
    </i>
    <i r="1">
      <x v="25"/>
    </i>
    <i>
      <x v="7"/>
    </i>
    <i r="1">
      <x v="18"/>
    </i>
    <i>
      <x v="5"/>
    </i>
    <i r="1">
      <x v="26"/>
    </i>
    <i>
      <x v="1"/>
    </i>
    <i r="1">
      <x v="6"/>
    </i>
    <i>
      <x v="2"/>
    </i>
    <i r="1">
      <x v="1"/>
    </i>
    <i>
      <x v="10"/>
    </i>
    <i r="1">
      <x v="24"/>
    </i>
    <i>
      <x v="21"/>
    </i>
    <i r="1">
      <x v="34"/>
    </i>
    <i>
      <x v="4"/>
    </i>
    <i r="1">
      <x v="19"/>
    </i>
    <i r="1">
      <x v="29"/>
    </i>
    <i>
      <x v="20"/>
    </i>
    <i r="1">
      <x v="11"/>
    </i>
    <i>
      <x v="18"/>
    </i>
    <i r="1">
      <x v="20"/>
    </i>
    <i>
      <x v="8"/>
    </i>
    <i r="1">
      <x v="16"/>
    </i>
    <i>
      <x v="6"/>
    </i>
    <i r="1">
      <x v="22"/>
    </i>
    <i>
      <x v="15"/>
    </i>
    <i r="1">
      <x v="30"/>
    </i>
  </rowItems>
  <colFields count="1">
    <field x="-2"/>
  </colFields>
  <colItems count="4">
    <i>
      <x/>
    </i>
    <i i="1">
      <x v="1"/>
    </i>
    <i i="2">
      <x v="2"/>
    </i>
    <i i="3">
      <x v="3"/>
    </i>
  </colItems>
  <pageFields count="1">
    <pageField fld="3" hier="-1"/>
  </pageFields>
  <dataFields count="4">
    <dataField name="imdb rating" fld="4" subtotal="average" baseField="2" baseItem="0"/>
    <dataField name="budget (USD)" fld="16" baseField="5" baseItem="11"/>
    <dataField name="revenue (USD)" fld="17" baseField="5" baseItem="11"/>
    <dataField name="profit/ loss (USD)" fld="18" baseField="5" baseItem="8"/>
  </dataFields>
  <formats count="1">
    <format dxfId="1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68337930-212C-48F9-BEEA-2C3C83B7363E}" sourceName="industry">
  <pivotTables>
    <pivotTable tabId="6" name="PivotTable2"/>
  </pivotTables>
  <data>
    <tabular pivotCacheId="2069999789">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62852D7C-54FB-4415-9B2C-CC41D8D720B4}" cache="Slicer_industry" caption="indust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3026E81-6E6C-40D3-9FC3-1F68FE718371}" name="target" displayName="target" ref="A1:B21" totalsRowShown="0">
  <autoFilter ref="A1:B21" xr:uid="{73026E81-6E6C-40D3-9FC3-1F68FE718371}"/>
  <tableColumns count="2">
    <tableColumn id="1" xr3:uid="{C9CF3A45-67FB-4EBF-A096-80CD4197D2A3}" name="studio"/>
    <tableColumn id="3" xr3:uid="{CCDD5B46-22C3-47C6-BB01-F0884F3AAE10}" name="target"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7FE39D-5614-4A7F-89B7-C167ABC0A251}" name="Movies" displayName="Movies" ref="A1:G40" totalsRowShown="0" headerRowDxfId="10">
  <autoFilter ref="A1:G40" xr:uid="{6A7FE39D-5614-4A7F-89B7-C167ABC0A251}"/>
  <sortState xmlns:xlrd2="http://schemas.microsoft.com/office/spreadsheetml/2017/richdata2" ref="A2:G40">
    <sortCondition ref="C1:C40"/>
  </sortState>
  <tableColumns count="7">
    <tableColumn id="1" xr3:uid="{5E453F0D-B27C-433C-BF11-BA3FE1A6822E}" name="movie_id_title"/>
    <tableColumn id="3" xr3:uid="{A73DC6E7-A5B7-4D92-B13E-587CFA363BFA}" name="industry"/>
    <tableColumn id="4" xr3:uid="{DFE5EBBB-5DEF-4AB9-A5C9-802FC0AD1B5B}" name="release_year"/>
    <tableColumn id="5" xr3:uid="{D500D219-E618-40DD-B4AA-E390F996EF1E}" name="imdb_rating"/>
    <tableColumn id="6" xr3:uid="{D06057E5-53B4-474F-BA7C-D7BC731BE502}" name="studio"/>
    <tableColumn id="7" xr3:uid="{70C8CD53-1FFB-4649-B796-093E6560F8C9}" name="language_id"/>
    <tableColumn id="2" xr3:uid="{C0CD5860-C1A1-4B0F-957D-6E2C229B9506}"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EC907F-917F-4689-8EAB-F7CEF660B9E4}" name="Financials" displayName="Financials" ref="A1:E41" totalsRowShown="0" headerRowDxfId="9">
  <autoFilter ref="A1:E41" xr:uid="{DCEC907F-917F-4689-8EAB-F7CEF660B9E4}"/>
  <tableColumns count="5">
    <tableColumn id="1" xr3:uid="{D1A9B0F4-FC15-4DC9-80C7-7EBF56996521}" name="movie_id"/>
    <tableColumn id="2" xr3:uid="{7A82C7E9-BE81-4BFD-9DE1-91C9F01BD827}" name="budget"/>
    <tableColumn id="3" xr3:uid="{965E2B99-FA87-4277-B9CC-A0E3C19DE420}" name="revenue"/>
    <tableColumn id="4" xr3:uid="{96087170-9E57-4229-AC50-74EEA71833C0}" name="unit"/>
    <tableColumn id="5" xr3:uid="{6495EEB2-7844-4F05-9057-6857978F8760}" name="currenc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E9627B-7F83-4E00-A9BD-B2B85ADBBA2F}" name="actors" displayName="actors" ref="A1:C68" totalsRowShown="0" headerRowDxfId="8">
  <autoFilter ref="A1:C68" xr:uid="{49E9627B-7F83-4E00-A9BD-B2B85ADBBA2F}"/>
  <tableColumns count="3">
    <tableColumn id="1" xr3:uid="{17C41506-36D4-4294-9829-5A0C52DE3455}" name="actor_id"/>
    <tableColumn id="2" xr3:uid="{2876D79C-DCCC-46A7-9A7C-E9583B5ED0CC}" name="name"/>
    <tableColumn id="3" xr3:uid="{FAFDAD74-E8EF-4409-98E8-FA816AA45652}" name="birth_yea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F3DFB9-F7AC-4F5D-9639-8E5EFD749C75}" name="movieactor" displayName="movieactor" ref="A1:B86" totalsRowShown="0" headerRowDxfId="7">
  <autoFilter ref="A1:B86" xr:uid="{69F3DFB9-F7AC-4F5D-9639-8E5EFD749C75}"/>
  <tableColumns count="2">
    <tableColumn id="1" xr3:uid="{726AA249-607F-4CEE-9C80-419BD67B7D42}" name="movie_id"/>
    <tableColumn id="2" xr3:uid="{A11280A0-C25A-482F-B3E4-13975B2F5282}" name="actor_i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C058435-0457-4C21-A779-EC166EB5551A}" name="languages" displayName="languages" ref="A1:B9" totalsRowShown="0" headerRowDxfId="6">
  <autoFilter ref="A1:B9" xr:uid="{1C058435-0457-4C21-A779-EC166EB5551A}"/>
  <tableColumns count="2">
    <tableColumn id="1" xr3:uid="{E256DBAD-6FC6-4A32-8A1D-C74A5F599F74}" name="language_id"/>
    <tableColumn id="2" xr3:uid="{583CF6B9-244C-4D0F-A271-B5A1C600F170}"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FA61E-9B94-4CBE-B0A8-8AB18CDEF16A}">
  <sheetPr codeName="Sheet1"/>
  <dimension ref="A1:H27"/>
  <sheetViews>
    <sheetView showGridLines="0" tabSelected="1" workbookViewId="0">
      <selection activeCell="K15" sqref="K15"/>
    </sheetView>
  </sheetViews>
  <sheetFormatPr defaultRowHeight="14.4" x14ac:dyDescent="0.3"/>
  <cols>
    <col min="1" max="1" width="26.88671875" bestFit="1" customWidth="1"/>
    <col min="2" max="2" width="11.44140625" bestFit="1" customWidth="1"/>
    <col min="3" max="3" width="12.44140625" bestFit="1" customWidth="1"/>
    <col min="4" max="4" width="10.109375" bestFit="1" customWidth="1"/>
    <col min="5" max="5" width="9" style="7" bestFit="1" customWidth="1"/>
    <col min="6" max="6" width="10.109375" bestFit="1" customWidth="1"/>
    <col min="7" max="7" width="13.33203125" bestFit="1" customWidth="1"/>
    <col min="8" max="8" width="14.77734375" style="7" bestFit="1" customWidth="1"/>
  </cols>
  <sheetData>
    <row r="1" spans="1:8" x14ac:dyDescent="0.3">
      <c r="A1" s="14" t="s">
        <v>212</v>
      </c>
      <c r="B1" s="14"/>
      <c r="C1" s="14"/>
      <c r="D1" s="14"/>
      <c r="E1" s="14"/>
      <c r="F1" s="14"/>
      <c r="G1" s="14"/>
      <c r="H1" s="14"/>
    </row>
    <row r="3" spans="1:8" x14ac:dyDescent="0.3">
      <c r="A3" s="8" t="s">
        <v>213</v>
      </c>
      <c r="B3" s="9" t="s">
        <v>209</v>
      </c>
      <c r="C3" s="9" t="s">
        <v>208</v>
      </c>
      <c r="D3" s="9" t="s">
        <v>214</v>
      </c>
      <c r="E3" s="9" t="s">
        <v>210</v>
      </c>
      <c r="F3" s="9" t="s">
        <v>215</v>
      </c>
      <c r="G3" s="9" t="s">
        <v>216</v>
      </c>
      <c r="H3" s="9" t="s">
        <v>217</v>
      </c>
    </row>
    <row r="4" spans="1:8" x14ac:dyDescent="0.3">
      <c r="A4" s="10" t="s">
        <v>6</v>
      </c>
      <c r="B4" s="12">
        <v>213</v>
      </c>
      <c r="C4" s="12">
        <v>949.48749999999995</v>
      </c>
      <c r="D4" s="12">
        <v>736.48749999999995</v>
      </c>
      <c r="E4" s="11">
        <v>3.4576877934272296</v>
      </c>
      <c r="F4" s="12">
        <v>657.005627</v>
      </c>
      <c r="G4" s="12">
        <v>79.48187299999995</v>
      </c>
      <c r="H4" s="11">
        <v>0.10792019280707406</v>
      </c>
    </row>
    <row r="5" spans="1:8" x14ac:dyDescent="0.3">
      <c r="A5" s="13" t="s">
        <v>25</v>
      </c>
      <c r="B5" s="12">
        <v>22.5</v>
      </c>
      <c r="C5" s="12">
        <v>81.25</v>
      </c>
      <c r="D5" s="12">
        <v>58.75</v>
      </c>
      <c r="E5" s="11">
        <v>2.6111111111111112</v>
      </c>
      <c r="F5" s="12">
        <v>42.7273</v>
      </c>
      <c r="G5" s="12">
        <v>16.0227</v>
      </c>
      <c r="H5" s="11">
        <v>0.2727268085106383</v>
      </c>
    </row>
    <row r="6" spans="1:8" x14ac:dyDescent="0.3">
      <c r="A6" s="13" t="s">
        <v>12</v>
      </c>
      <c r="B6" s="12">
        <v>11.125</v>
      </c>
      <c r="C6" s="12">
        <v>28.875</v>
      </c>
      <c r="D6" s="12">
        <v>17.75</v>
      </c>
      <c r="E6" s="11">
        <v>1.595505617977528</v>
      </c>
      <c r="F6" s="12">
        <v>12.171456000000001</v>
      </c>
      <c r="G6" s="12">
        <v>5.5785439999999991</v>
      </c>
      <c r="H6" s="11">
        <v>0.31428416901408446</v>
      </c>
    </row>
    <row r="7" spans="1:8" x14ac:dyDescent="0.3">
      <c r="A7" s="13" t="s">
        <v>24</v>
      </c>
      <c r="B7" s="12">
        <v>68.75</v>
      </c>
      <c r="C7" s="12">
        <v>150</v>
      </c>
      <c r="D7" s="12">
        <v>81.25</v>
      </c>
      <c r="E7" s="11">
        <v>1.1818181818181819</v>
      </c>
      <c r="F7" s="12">
        <v>54.870139999999999</v>
      </c>
      <c r="G7" s="12">
        <v>26.379860000000001</v>
      </c>
      <c r="H7" s="11">
        <v>0.3246752</v>
      </c>
    </row>
    <row r="8" spans="1:8" x14ac:dyDescent="0.3">
      <c r="A8" s="13" t="s">
        <v>160</v>
      </c>
      <c r="B8" s="12">
        <v>12.5</v>
      </c>
      <c r="C8" s="12">
        <v>156.25</v>
      </c>
      <c r="D8" s="12">
        <v>143.75</v>
      </c>
      <c r="E8" s="11">
        <v>11.5</v>
      </c>
      <c r="F8" s="12">
        <v>165.779166</v>
      </c>
      <c r="G8" s="12">
        <v>-22.029166000000004</v>
      </c>
      <c r="H8" s="11">
        <v>-0.15324637217391307</v>
      </c>
    </row>
    <row r="9" spans="1:8" x14ac:dyDescent="0.3">
      <c r="A9" s="13" t="s">
        <v>23</v>
      </c>
      <c r="B9" s="12">
        <v>25</v>
      </c>
      <c r="C9" s="12">
        <v>45</v>
      </c>
      <c r="D9" s="12">
        <v>20</v>
      </c>
      <c r="E9" s="11">
        <v>0.8</v>
      </c>
      <c r="F9" s="12">
        <v>14.129856</v>
      </c>
      <c r="G9" s="12">
        <v>5.8701439999999998</v>
      </c>
      <c r="H9" s="11">
        <v>0.29350719999999997</v>
      </c>
    </row>
    <row r="10" spans="1:8" x14ac:dyDescent="0.3">
      <c r="A10" s="13" t="s">
        <v>27</v>
      </c>
      <c r="B10" s="12">
        <v>33.75</v>
      </c>
      <c r="C10" s="12">
        <v>184.875</v>
      </c>
      <c r="D10" s="12">
        <v>151.125</v>
      </c>
      <c r="E10" s="11">
        <v>4.4777777777777779</v>
      </c>
      <c r="F10" s="12">
        <v>166.43377999999998</v>
      </c>
      <c r="G10" s="12">
        <v>-15.308779999999985</v>
      </c>
      <c r="H10" s="11">
        <v>-0.10129879239040519</v>
      </c>
    </row>
    <row r="11" spans="1:8" x14ac:dyDescent="0.3">
      <c r="A11" s="13" t="s">
        <v>11</v>
      </c>
      <c r="B11" s="12">
        <v>30</v>
      </c>
      <c r="C11" s="12">
        <v>230.5</v>
      </c>
      <c r="D11" s="12">
        <v>200.5</v>
      </c>
      <c r="E11" s="11">
        <v>6.6833333333333336</v>
      </c>
      <c r="F11" s="12">
        <v>135.40260499999999</v>
      </c>
      <c r="G11" s="12">
        <v>65.097395000000006</v>
      </c>
      <c r="H11" s="11">
        <v>0.32467528678304242</v>
      </c>
    </row>
    <row r="12" spans="1:8" x14ac:dyDescent="0.3">
      <c r="A12" s="13" t="s">
        <v>22</v>
      </c>
      <c r="B12" s="12">
        <v>1.25</v>
      </c>
      <c r="C12" s="12">
        <v>5.125</v>
      </c>
      <c r="D12" s="12">
        <v>3.875</v>
      </c>
      <c r="E12" s="11">
        <v>3.1</v>
      </c>
      <c r="F12" s="12">
        <v>3.4623599999999999</v>
      </c>
      <c r="G12" s="12">
        <v>0.41264000000000012</v>
      </c>
      <c r="H12" s="11">
        <v>0.1064877419354839</v>
      </c>
    </row>
    <row r="13" spans="1:8" x14ac:dyDescent="0.3">
      <c r="A13" s="13" t="s">
        <v>10</v>
      </c>
      <c r="B13" s="12">
        <v>5</v>
      </c>
      <c r="C13" s="12">
        <v>25</v>
      </c>
      <c r="D13" s="12">
        <v>20</v>
      </c>
      <c r="E13" s="11">
        <v>4</v>
      </c>
      <c r="F13" s="12">
        <v>22.233744000000002</v>
      </c>
      <c r="G13" s="12">
        <v>-2.2337440000000015</v>
      </c>
      <c r="H13" s="11">
        <v>-0.11168720000000007</v>
      </c>
    </row>
    <row r="14" spans="1:8" x14ac:dyDescent="0.3">
      <c r="A14" s="13" t="s">
        <v>26</v>
      </c>
      <c r="B14" s="12">
        <v>3.125</v>
      </c>
      <c r="C14" s="12">
        <v>42.612499999999997</v>
      </c>
      <c r="D14" s="12">
        <v>39.487499999999997</v>
      </c>
      <c r="E14" s="11">
        <v>12.635999999999999</v>
      </c>
      <c r="F14" s="12">
        <v>39.79522</v>
      </c>
      <c r="G14" s="12">
        <v>-0.30772000000000332</v>
      </c>
      <c r="H14" s="11">
        <v>-7.7928458372903669E-3</v>
      </c>
    </row>
    <row r="15" spans="1:8" x14ac:dyDescent="0.3">
      <c r="A15" s="10" t="s">
        <v>7</v>
      </c>
      <c r="B15" s="12">
        <v>3050.9</v>
      </c>
      <c r="C15" s="12">
        <v>18311.5</v>
      </c>
      <c r="D15" s="12">
        <v>15260.6</v>
      </c>
      <c r="E15" s="11">
        <v>5.0019994100101606</v>
      </c>
      <c r="F15" s="12">
        <v>13250.518</v>
      </c>
      <c r="G15" s="12">
        <v>2010.0820000000003</v>
      </c>
      <c r="H15" s="11">
        <v>0.13171710155564004</v>
      </c>
    </row>
    <row r="16" spans="1:8" x14ac:dyDescent="0.3">
      <c r="A16" s="13" t="s">
        <v>19</v>
      </c>
      <c r="B16" s="12">
        <v>237</v>
      </c>
      <c r="C16" s="12">
        <v>2847</v>
      </c>
      <c r="D16" s="12">
        <v>2610</v>
      </c>
      <c r="E16" s="11">
        <v>11.012658227848101</v>
      </c>
      <c r="F16" s="12">
        <v>2244.6</v>
      </c>
      <c r="G16" s="12">
        <v>365.40000000000009</v>
      </c>
      <c r="H16" s="11">
        <v>0.14000000000000004</v>
      </c>
    </row>
    <row r="17" spans="1:8" x14ac:dyDescent="0.3">
      <c r="A17" s="13" t="s">
        <v>13</v>
      </c>
      <c r="B17" s="12">
        <v>25</v>
      </c>
      <c r="C17" s="12">
        <v>73.3</v>
      </c>
      <c r="D17" s="12">
        <v>48.3</v>
      </c>
      <c r="E17" s="11">
        <v>1.9319999999999999</v>
      </c>
      <c r="F17" s="12">
        <v>47.333999999999996</v>
      </c>
      <c r="G17" s="12">
        <v>0.96600000000000108</v>
      </c>
      <c r="H17" s="11">
        <v>2.0000000000000025E-2</v>
      </c>
    </row>
    <row r="18" spans="1:8" x14ac:dyDescent="0.3">
      <c r="A18" s="13" t="s">
        <v>15</v>
      </c>
      <c r="B18" s="12">
        <v>55</v>
      </c>
      <c r="C18" s="12">
        <v>307.10000000000002</v>
      </c>
      <c r="D18" s="12">
        <v>252.10000000000002</v>
      </c>
      <c r="E18" s="11">
        <v>4.583636363636364</v>
      </c>
      <c r="F18" s="12">
        <v>229.411</v>
      </c>
      <c r="G18" s="12">
        <v>22.689000000000021</v>
      </c>
      <c r="H18" s="11">
        <v>9.000000000000008E-2</v>
      </c>
    </row>
    <row r="19" spans="1:8" x14ac:dyDescent="0.3">
      <c r="A19" s="13" t="s">
        <v>8</v>
      </c>
      <c r="B19" s="12">
        <v>1988.7</v>
      </c>
      <c r="C19" s="12">
        <v>9054.5999999999985</v>
      </c>
      <c r="D19" s="12">
        <v>7065.8999999999987</v>
      </c>
      <c r="E19" s="11">
        <v>3.5530245889274394</v>
      </c>
      <c r="F19" s="12">
        <v>6000</v>
      </c>
      <c r="G19" s="12">
        <v>1065.8999999999987</v>
      </c>
      <c r="H19" s="11">
        <v>0.15085127160022063</v>
      </c>
    </row>
    <row r="20" spans="1:8" x14ac:dyDescent="0.3">
      <c r="A20" s="13" t="s">
        <v>17</v>
      </c>
      <c r="B20" s="12">
        <v>207.2</v>
      </c>
      <c r="C20" s="12">
        <v>2493</v>
      </c>
      <c r="D20" s="12">
        <v>2285.8000000000002</v>
      </c>
      <c r="E20" s="11">
        <v>11.031853281853284</v>
      </c>
      <c r="F20" s="12">
        <v>2194.3679999999999</v>
      </c>
      <c r="G20" s="12">
        <v>91.432000000000244</v>
      </c>
      <c r="H20" s="11">
        <v>4.0000000000000105E-2</v>
      </c>
    </row>
    <row r="21" spans="1:8" x14ac:dyDescent="0.3">
      <c r="A21" s="13" t="s">
        <v>20</v>
      </c>
      <c r="B21" s="12">
        <v>185</v>
      </c>
      <c r="C21" s="12">
        <v>1006</v>
      </c>
      <c r="D21" s="12">
        <v>821</v>
      </c>
      <c r="E21" s="11">
        <v>4.4378378378378383</v>
      </c>
      <c r="F21" s="12">
        <v>640.38</v>
      </c>
      <c r="G21" s="12">
        <v>180.62</v>
      </c>
      <c r="H21" s="11">
        <v>0.22</v>
      </c>
    </row>
    <row r="22" spans="1:8" x14ac:dyDescent="0.3">
      <c r="A22" s="13" t="s">
        <v>21</v>
      </c>
      <c r="B22" s="12">
        <v>188</v>
      </c>
      <c r="C22" s="12">
        <v>1828.7</v>
      </c>
      <c r="D22" s="12">
        <v>1640.7</v>
      </c>
      <c r="E22" s="11">
        <v>8.7271276595744691</v>
      </c>
      <c r="F22" s="12">
        <v>1427.4090000000001</v>
      </c>
      <c r="G22" s="12">
        <v>213.29099999999994</v>
      </c>
      <c r="H22" s="11">
        <v>0.12999999999999995</v>
      </c>
    </row>
    <row r="23" spans="1:8" x14ac:dyDescent="0.3">
      <c r="A23" s="13" t="s">
        <v>14</v>
      </c>
      <c r="B23" s="12">
        <v>165</v>
      </c>
      <c r="C23" s="12">
        <v>701.8</v>
      </c>
      <c r="D23" s="12">
        <v>536.79999999999995</v>
      </c>
      <c r="E23" s="11">
        <v>3.253333333333333</v>
      </c>
      <c r="F23" s="12">
        <v>467.01599999999996</v>
      </c>
      <c r="G23" s="12">
        <v>69.783999999999992</v>
      </c>
      <c r="H23" s="11">
        <v>0.13</v>
      </c>
    </row>
    <row r="24" spans="1:8" x14ac:dyDescent="0.3">
      <c r="A24" s="10" t="s">
        <v>162</v>
      </c>
      <c r="B24" s="12">
        <v>3263.9</v>
      </c>
      <c r="C24" s="12">
        <v>19260.987499999999</v>
      </c>
      <c r="D24" s="12">
        <v>15997.0875</v>
      </c>
      <c r="E24" s="11">
        <v>4.9012186341493305</v>
      </c>
      <c r="F24" s="12">
        <v>13907.523626999997</v>
      </c>
      <c r="G24" s="12">
        <v>2089.5638730000028</v>
      </c>
      <c r="H24" s="11">
        <v>0.13062151926092813</v>
      </c>
    </row>
    <row r="25" spans="1:8" x14ac:dyDescent="0.3">
      <c r="E25"/>
      <c r="H25"/>
    </row>
    <row r="26" spans="1:8" x14ac:dyDescent="0.3">
      <c r="E26"/>
      <c r="H26"/>
    </row>
    <row r="27" spans="1:8" x14ac:dyDescent="0.3">
      <c r="E27"/>
      <c r="H27"/>
    </row>
  </sheetData>
  <mergeCells count="1">
    <mergeCell ref="A1:H1"/>
  </mergeCells>
  <conditionalFormatting pivot="1" sqref="H4:H24">
    <cfRule type="cellIs" dxfId="13" priority="1" operator="lessThan">
      <formula>0</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_query">
                <anchor moveWithCells="1">
                  <from>
                    <xdr:col>9</xdr:col>
                    <xdr:colOff>144780</xdr:colOff>
                    <xdr:row>2</xdr:row>
                    <xdr:rowOff>45720</xdr:rowOff>
                  </from>
                  <to>
                    <xdr:col>10</xdr:col>
                    <xdr:colOff>53340</xdr:colOff>
                    <xdr:row>3</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E38D2-F551-4A57-A8A1-BDF22F67906C}">
  <sheetPr codeName="Sheet2"/>
  <dimension ref="A1:B21"/>
  <sheetViews>
    <sheetView workbookViewId="0">
      <selection activeCell="D10" sqref="D10"/>
    </sheetView>
  </sheetViews>
  <sheetFormatPr defaultRowHeight="14.4" x14ac:dyDescent="0.3"/>
  <cols>
    <col min="1" max="1" width="17.44140625" customWidth="1"/>
    <col min="2" max="2" width="20.44140625" customWidth="1"/>
  </cols>
  <sheetData>
    <row r="1" spans="1:2" x14ac:dyDescent="0.3">
      <c r="A1" t="s">
        <v>4</v>
      </c>
      <c r="B1" t="s">
        <v>211</v>
      </c>
    </row>
    <row r="2" spans="1:2" x14ac:dyDescent="0.3">
      <c r="A2" t="s">
        <v>19</v>
      </c>
      <c r="B2" s="6">
        <v>2244.6</v>
      </c>
    </row>
    <row r="3" spans="1:2" x14ac:dyDescent="0.3">
      <c r="A3" t="s">
        <v>25</v>
      </c>
      <c r="B3" s="6">
        <v>42.7273</v>
      </c>
    </row>
    <row r="4" spans="1:2" x14ac:dyDescent="0.3">
      <c r="A4" t="s">
        <v>13</v>
      </c>
      <c r="B4" s="6">
        <v>47.333999999999996</v>
      </c>
    </row>
    <row r="5" spans="1:2" x14ac:dyDescent="0.3">
      <c r="A5" t="s">
        <v>15</v>
      </c>
      <c r="B5" s="6">
        <v>229.411</v>
      </c>
    </row>
    <row r="6" spans="1:2" x14ac:dyDescent="0.3">
      <c r="A6" t="s">
        <v>12</v>
      </c>
      <c r="B6" s="6">
        <v>12.171456000000001</v>
      </c>
    </row>
    <row r="7" spans="1:2" x14ac:dyDescent="0.3">
      <c r="A7" t="s">
        <v>24</v>
      </c>
      <c r="B7" s="6">
        <v>54.870139999999999</v>
      </c>
    </row>
    <row r="8" spans="1:2" x14ac:dyDescent="0.3">
      <c r="A8" t="s">
        <v>159</v>
      </c>
      <c r="B8" s="6">
        <v>0.3</v>
      </c>
    </row>
    <row r="9" spans="1:2" x14ac:dyDescent="0.3">
      <c r="A9" t="s">
        <v>160</v>
      </c>
      <c r="B9" s="6">
        <v>165.779166</v>
      </c>
    </row>
    <row r="10" spans="1:2" x14ac:dyDescent="0.3">
      <c r="A10" t="s">
        <v>18</v>
      </c>
      <c r="B10" s="6">
        <v>0.86</v>
      </c>
    </row>
    <row r="11" spans="1:2" x14ac:dyDescent="0.3">
      <c r="A11" t="s">
        <v>8</v>
      </c>
      <c r="B11" s="6">
        <v>6000</v>
      </c>
    </row>
    <row r="12" spans="1:2" x14ac:dyDescent="0.3">
      <c r="A12" t="s">
        <v>23</v>
      </c>
      <c r="B12" s="6">
        <v>14.129856</v>
      </c>
    </row>
    <row r="13" spans="1:2" x14ac:dyDescent="0.3">
      <c r="A13" t="s">
        <v>17</v>
      </c>
      <c r="B13" s="6">
        <v>2194.3679999999999</v>
      </c>
    </row>
    <row r="14" spans="1:2" x14ac:dyDescent="0.3">
      <c r="A14" t="s">
        <v>27</v>
      </c>
      <c r="B14" s="6">
        <v>166.43377999999998</v>
      </c>
    </row>
    <row r="15" spans="1:2" x14ac:dyDescent="0.3">
      <c r="A15" t="s">
        <v>20</v>
      </c>
      <c r="B15" s="6">
        <v>640.38</v>
      </c>
    </row>
    <row r="16" spans="1:2" x14ac:dyDescent="0.3">
      <c r="A16" t="s">
        <v>21</v>
      </c>
      <c r="B16" s="6">
        <v>1427.4090000000001</v>
      </c>
    </row>
    <row r="17" spans="1:2" x14ac:dyDescent="0.3">
      <c r="A17" t="s">
        <v>11</v>
      </c>
      <c r="B17" s="6">
        <v>135.40260499999999</v>
      </c>
    </row>
    <row r="18" spans="1:2" x14ac:dyDescent="0.3">
      <c r="A18" t="s">
        <v>22</v>
      </c>
      <c r="B18" s="6">
        <v>3.4623599999999999</v>
      </c>
    </row>
    <row r="19" spans="1:2" x14ac:dyDescent="0.3">
      <c r="A19" t="s">
        <v>14</v>
      </c>
      <c r="B19" s="6">
        <v>467.01599999999996</v>
      </c>
    </row>
    <row r="20" spans="1:2" x14ac:dyDescent="0.3">
      <c r="A20" t="s">
        <v>10</v>
      </c>
      <c r="B20" s="6">
        <v>22.233744000000002</v>
      </c>
    </row>
    <row r="21" spans="1:2" x14ac:dyDescent="0.3">
      <c r="A21" t="s">
        <v>26</v>
      </c>
      <c r="B21" s="6">
        <v>39.79522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17289-BA44-4F6D-A2C1-DE6C2195D967}">
  <sheetPr codeName="Sheet3"/>
  <dimension ref="A1:J66"/>
  <sheetViews>
    <sheetView workbookViewId="0">
      <selection activeCell="L21" sqref="L21"/>
    </sheetView>
  </sheetViews>
  <sheetFormatPr defaultRowHeight="14.4" x14ac:dyDescent="0.3"/>
  <cols>
    <col min="1" max="1" width="41.88671875" bestFit="1" customWidth="1"/>
    <col min="2" max="2" width="12.88671875" bestFit="1" customWidth="1"/>
    <col min="3" max="3" width="14.5546875" bestFit="1" customWidth="1"/>
    <col min="4" max="4" width="15.5546875" bestFit="1" customWidth="1"/>
    <col min="5" max="5" width="17.77734375" bestFit="1" customWidth="1"/>
    <col min="6" max="10" width="6" bestFit="1" customWidth="1"/>
    <col min="11" max="11" width="4.5546875" bestFit="1" customWidth="1"/>
    <col min="12" max="13" width="6" bestFit="1" customWidth="1"/>
    <col min="14" max="14" width="4.5546875" bestFit="1" customWidth="1"/>
    <col min="15" max="15" width="6" bestFit="1" customWidth="1"/>
    <col min="16" max="21" width="5" bestFit="1" customWidth="1"/>
    <col min="22" max="22" width="7" bestFit="1" customWidth="1"/>
    <col min="23" max="23" width="10.77734375" bestFit="1" customWidth="1"/>
  </cols>
  <sheetData>
    <row r="1" spans="1:10" x14ac:dyDescent="0.3">
      <c r="A1" s="14" t="s">
        <v>207</v>
      </c>
      <c r="B1" s="14"/>
      <c r="C1" s="14"/>
      <c r="D1" s="14"/>
      <c r="E1" s="14"/>
      <c r="F1" s="14"/>
      <c r="G1" s="14"/>
      <c r="H1" s="14"/>
      <c r="I1" s="14"/>
      <c r="J1" s="14"/>
    </row>
    <row r="3" spans="1:10" x14ac:dyDescent="0.3">
      <c r="A3" s="3" t="s">
        <v>2</v>
      </c>
      <c r="B3" t="s">
        <v>164</v>
      </c>
    </row>
    <row r="5" spans="1:10" x14ac:dyDescent="0.3">
      <c r="A5" s="3" t="s">
        <v>158</v>
      </c>
      <c r="B5" t="s">
        <v>163</v>
      </c>
      <c r="C5" t="s">
        <v>165</v>
      </c>
      <c r="D5" t="s">
        <v>166</v>
      </c>
      <c r="E5" t="s">
        <v>167</v>
      </c>
    </row>
    <row r="6" spans="1:10" x14ac:dyDescent="0.3">
      <c r="A6" s="4" t="s">
        <v>8</v>
      </c>
      <c r="B6">
        <v>7.4999999999999991</v>
      </c>
      <c r="C6">
        <v>1988.7</v>
      </c>
      <c r="D6">
        <v>9054.5999999999985</v>
      </c>
      <c r="E6">
        <v>7065.9</v>
      </c>
    </row>
    <row r="7" spans="1:10" x14ac:dyDescent="0.3">
      <c r="A7" s="5" t="s">
        <v>183</v>
      </c>
      <c r="B7">
        <v>6.8</v>
      </c>
      <c r="C7">
        <v>250</v>
      </c>
      <c r="D7">
        <v>670</v>
      </c>
      <c r="E7">
        <v>420</v>
      </c>
    </row>
    <row r="8" spans="1:10" x14ac:dyDescent="0.3">
      <c r="A8" s="5" t="s">
        <v>178</v>
      </c>
      <c r="B8">
        <v>8.4</v>
      </c>
      <c r="C8">
        <v>400</v>
      </c>
      <c r="D8">
        <v>2798</v>
      </c>
      <c r="E8">
        <v>2398</v>
      </c>
    </row>
    <row r="9" spans="1:10" x14ac:dyDescent="0.3">
      <c r="A9" s="5" t="s">
        <v>179</v>
      </c>
      <c r="B9">
        <v>8.4</v>
      </c>
      <c r="C9">
        <v>400</v>
      </c>
      <c r="D9">
        <v>2048</v>
      </c>
      <c r="E9">
        <v>1648</v>
      </c>
    </row>
    <row r="10" spans="1:10" x14ac:dyDescent="0.3">
      <c r="A10" s="5" t="s">
        <v>180</v>
      </c>
      <c r="B10">
        <v>6.9</v>
      </c>
      <c r="C10">
        <v>216.7</v>
      </c>
      <c r="D10">
        <v>370.6</v>
      </c>
      <c r="E10">
        <v>153.9</v>
      </c>
    </row>
    <row r="11" spans="1:10" x14ac:dyDescent="0.3">
      <c r="A11" s="5" t="s">
        <v>181</v>
      </c>
      <c r="B11">
        <v>7.8</v>
      </c>
      <c r="C11">
        <v>177</v>
      </c>
      <c r="D11">
        <v>714.4</v>
      </c>
      <c r="E11">
        <v>537.4</v>
      </c>
    </row>
    <row r="12" spans="1:10" x14ac:dyDescent="0.3">
      <c r="A12" s="5" t="s">
        <v>182</v>
      </c>
      <c r="B12">
        <v>7</v>
      </c>
      <c r="C12">
        <v>200</v>
      </c>
      <c r="D12">
        <v>954.8</v>
      </c>
      <c r="E12">
        <v>754.8</v>
      </c>
    </row>
    <row r="13" spans="1:10" x14ac:dyDescent="0.3">
      <c r="A13" s="5" t="s">
        <v>184</v>
      </c>
      <c r="B13">
        <v>7.9</v>
      </c>
      <c r="C13">
        <v>180</v>
      </c>
      <c r="D13">
        <v>854</v>
      </c>
      <c r="E13">
        <v>674</v>
      </c>
    </row>
    <row r="14" spans="1:10" x14ac:dyDescent="0.3">
      <c r="A14" s="5" t="s">
        <v>185</v>
      </c>
      <c r="B14">
        <v>6.8</v>
      </c>
      <c r="C14">
        <v>165</v>
      </c>
      <c r="D14">
        <v>644.79999999999995</v>
      </c>
      <c r="E14">
        <v>479.8</v>
      </c>
    </row>
    <row r="15" spans="1:10" x14ac:dyDescent="0.3">
      <c r="A15" s="4" t="s">
        <v>19</v>
      </c>
      <c r="B15">
        <v>7.8</v>
      </c>
      <c r="C15">
        <v>237</v>
      </c>
      <c r="D15">
        <v>2847</v>
      </c>
      <c r="E15">
        <v>2610</v>
      </c>
    </row>
    <row r="16" spans="1:10" x14ac:dyDescent="0.3">
      <c r="A16" s="5" t="s">
        <v>168</v>
      </c>
      <c r="B16">
        <v>7.8</v>
      </c>
      <c r="C16">
        <v>237</v>
      </c>
      <c r="D16">
        <v>2847</v>
      </c>
      <c r="E16">
        <v>2610</v>
      </c>
    </row>
    <row r="17" spans="1:5" x14ac:dyDescent="0.3">
      <c r="A17" s="4" t="s">
        <v>17</v>
      </c>
      <c r="B17">
        <v>8.5500000000000007</v>
      </c>
      <c r="C17">
        <v>207.2</v>
      </c>
      <c r="D17">
        <v>2493</v>
      </c>
      <c r="E17">
        <v>2285.8000000000002</v>
      </c>
    </row>
    <row r="18" spans="1:5" x14ac:dyDescent="0.3">
      <c r="A18" s="5" t="s">
        <v>190</v>
      </c>
      <c r="B18">
        <v>9.1999999999999993</v>
      </c>
      <c r="C18">
        <v>7.2</v>
      </c>
      <c r="D18">
        <v>291</v>
      </c>
      <c r="E18">
        <v>283.8</v>
      </c>
    </row>
    <row r="19" spans="1:5" x14ac:dyDescent="0.3">
      <c r="A19" s="5" t="s">
        <v>191</v>
      </c>
      <c r="B19">
        <v>7.9</v>
      </c>
      <c r="C19">
        <v>200</v>
      </c>
      <c r="D19">
        <v>2202</v>
      </c>
      <c r="E19">
        <v>2002</v>
      </c>
    </row>
    <row r="20" spans="1:5" x14ac:dyDescent="0.3">
      <c r="A20" s="4" t="s">
        <v>21</v>
      </c>
      <c r="B20">
        <v>8.5666666666666664</v>
      </c>
      <c r="C20">
        <v>188</v>
      </c>
      <c r="D20">
        <v>1828.7</v>
      </c>
      <c r="E20">
        <v>1640.7</v>
      </c>
    </row>
    <row r="21" spans="1:5" x14ac:dyDescent="0.3">
      <c r="A21" s="5" t="s">
        <v>196</v>
      </c>
      <c r="B21">
        <v>8.5</v>
      </c>
      <c r="C21">
        <v>103</v>
      </c>
      <c r="D21">
        <v>460.5</v>
      </c>
      <c r="E21">
        <v>357.5</v>
      </c>
    </row>
    <row r="22" spans="1:5" x14ac:dyDescent="0.3">
      <c r="A22" s="5" t="s">
        <v>197</v>
      </c>
      <c r="B22">
        <v>8.1999999999999993</v>
      </c>
      <c r="C22">
        <v>63</v>
      </c>
      <c r="D22">
        <v>1046</v>
      </c>
      <c r="E22">
        <v>983</v>
      </c>
    </row>
    <row r="23" spans="1:5" x14ac:dyDescent="0.3">
      <c r="A23" s="5" t="s">
        <v>198</v>
      </c>
      <c r="B23">
        <v>9</v>
      </c>
      <c r="C23">
        <v>22</v>
      </c>
      <c r="D23">
        <v>322.2</v>
      </c>
      <c r="E23">
        <v>300.2</v>
      </c>
    </row>
    <row r="24" spans="1:5" x14ac:dyDescent="0.3">
      <c r="A24" s="4" t="s">
        <v>20</v>
      </c>
      <c r="B24">
        <v>9</v>
      </c>
      <c r="C24">
        <v>185</v>
      </c>
      <c r="D24">
        <v>1006</v>
      </c>
      <c r="E24">
        <v>821</v>
      </c>
    </row>
    <row r="25" spans="1:5" x14ac:dyDescent="0.3">
      <c r="A25" s="5" t="s">
        <v>194</v>
      </c>
      <c r="B25">
        <v>9</v>
      </c>
      <c r="C25">
        <v>185</v>
      </c>
      <c r="D25">
        <v>1006</v>
      </c>
      <c r="E25">
        <v>821</v>
      </c>
    </row>
    <row r="26" spans="1:5" x14ac:dyDescent="0.3">
      <c r="A26" s="4" t="s">
        <v>14</v>
      </c>
      <c r="B26">
        <v>8.6999999999999993</v>
      </c>
      <c r="C26">
        <v>165</v>
      </c>
      <c r="D26">
        <v>701.8</v>
      </c>
      <c r="E26">
        <v>536.79999999999995</v>
      </c>
    </row>
    <row r="27" spans="1:5" x14ac:dyDescent="0.3">
      <c r="A27" s="5" t="s">
        <v>203</v>
      </c>
      <c r="B27">
        <v>8.8000000000000007</v>
      </c>
    </row>
    <row r="28" spans="1:5" x14ac:dyDescent="0.3">
      <c r="A28" s="5" t="s">
        <v>204</v>
      </c>
      <c r="B28">
        <v>8.6</v>
      </c>
      <c r="C28">
        <v>165</v>
      </c>
      <c r="D28">
        <v>701.8</v>
      </c>
      <c r="E28">
        <v>536.79999999999995</v>
      </c>
    </row>
    <row r="29" spans="1:5" x14ac:dyDescent="0.3">
      <c r="A29" s="4" t="s">
        <v>161</v>
      </c>
      <c r="B29">
        <v>8</v>
      </c>
      <c r="C29">
        <v>34.5</v>
      </c>
      <c r="D29">
        <v>323.72500000000002</v>
      </c>
      <c r="E29">
        <v>289.22500000000002</v>
      </c>
    </row>
    <row r="30" spans="1:5" x14ac:dyDescent="0.3">
      <c r="A30" s="5" t="s">
        <v>187</v>
      </c>
      <c r="B30">
        <v>7.2</v>
      </c>
      <c r="C30">
        <v>17.5</v>
      </c>
      <c r="D30">
        <v>43.75</v>
      </c>
      <c r="E30">
        <v>26.25</v>
      </c>
    </row>
    <row r="31" spans="1:5" x14ac:dyDescent="0.3">
      <c r="A31" s="5" t="s">
        <v>188</v>
      </c>
      <c r="B31">
        <v>8.5</v>
      </c>
      <c r="C31">
        <v>15.5</v>
      </c>
      <c r="D31">
        <v>263.10000000000002</v>
      </c>
      <c r="E31">
        <v>247.6</v>
      </c>
    </row>
    <row r="32" spans="1:5" x14ac:dyDescent="0.3">
      <c r="A32" s="5" t="s">
        <v>189</v>
      </c>
      <c r="B32">
        <v>8.3000000000000007</v>
      </c>
      <c r="C32">
        <v>1.5</v>
      </c>
      <c r="D32">
        <v>16.875</v>
      </c>
      <c r="E32">
        <v>15.375</v>
      </c>
    </row>
    <row r="33" spans="1:5" x14ac:dyDescent="0.3">
      <c r="A33" s="4" t="s">
        <v>15</v>
      </c>
      <c r="B33">
        <v>8</v>
      </c>
      <c r="C33">
        <v>55</v>
      </c>
      <c r="D33">
        <v>307.10000000000002</v>
      </c>
      <c r="E33">
        <v>252.1</v>
      </c>
    </row>
    <row r="34" spans="1:5" x14ac:dyDescent="0.3">
      <c r="A34" s="5" t="s">
        <v>171</v>
      </c>
      <c r="B34">
        <v>8</v>
      </c>
      <c r="C34">
        <v>55</v>
      </c>
      <c r="D34">
        <v>307.10000000000002</v>
      </c>
      <c r="E34">
        <v>252.1</v>
      </c>
    </row>
    <row r="35" spans="1:5" x14ac:dyDescent="0.3">
      <c r="A35" s="4" t="s">
        <v>11</v>
      </c>
      <c r="B35">
        <v>8.25</v>
      </c>
      <c r="C35">
        <v>30</v>
      </c>
      <c r="D35">
        <v>230.5</v>
      </c>
      <c r="E35">
        <v>200.5</v>
      </c>
    </row>
    <row r="36" spans="1:5" x14ac:dyDescent="0.3">
      <c r="A36" s="5" t="s">
        <v>199</v>
      </c>
      <c r="B36">
        <v>8.4</v>
      </c>
      <c r="C36">
        <v>6.875</v>
      </c>
      <c r="D36">
        <v>50</v>
      </c>
      <c r="E36">
        <v>43.125</v>
      </c>
    </row>
    <row r="37" spans="1:5" x14ac:dyDescent="0.3">
      <c r="A37" s="5" t="s">
        <v>200</v>
      </c>
      <c r="B37">
        <v>8.1</v>
      </c>
      <c r="C37">
        <v>10.625</v>
      </c>
      <c r="D37">
        <v>106.75</v>
      </c>
      <c r="E37">
        <v>96.125</v>
      </c>
    </row>
    <row r="38" spans="1:5" x14ac:dyDescent="0.3">
      <c r="A38" s="5" t="s">
        <v>201</v>
      </c>
      <c r="C38">
        <v>12.5</v>
      </c>
      <c r="D38">
        <v>73.75</v>
      </c>
      <c r="E38">
        <v>61.25</v>
      </c>
    </row>
    <row r="39" spans="1:5" x14ac:dyDescent="0.3">
      <c r="A39" s="4" t="s">
        <v>27</v>
      </c>
      <c r="B39">
        <v>5</v>
      </c>
      <c r="C39">
        <v>33.75</v>
      </c>
      <c r="D39">
        <v>184.875</v>
      </c>
      <c r="E39">
        <v>151.125</v>
      </c>
    </row>
    <row r="40" spans="1:5" x14ac:dyDescent="0.3">
      <c r="A40" s="5" t="s">
        <v>192</v>
      </c>
      <c r="B40">
        <v>8.1</v>
      </c>
      <c r="C40">
        <v>11.25</v>
      </c>
      <c r="D40">
        <v>146.125</v>
      </c>
      <c r="E40">
        <v>134.875</v>
      </c>
    </row>
    <row r="41" spans="1:5" x14ac:dyDescent="0.3">
      <c r="A41" s="5" t="s">
        <v>193</v>
      </c>
      <c r="B41">
        <v>1.9</v>
      </c>
      <c r="C41">
        <v>22.5</v>
      </c>
      <c r="D41">
        <v>38.75</v>
      </c>
      <c r="E41">
        <v>16.25</v>
      </c>
    </row>
    <row r="42" spans="1:5" x14ac:dyDescent="0.3">
      <c r="A42" s="4" t="s">
        <v>160</v>
      </c>
      <c r="B42">
        <v>8.4</v>
      </c>
      <c r="C42">
        <v>12.5</v>
      </c>
      <c r="D42">
        <v>156.25</v>
      </c>
      <c r="E42">
        <v>143.75</v>
      </c>
    </row>
    <row r="43" spans="1:5" x14ac:dyDescent="0.3">
      <c r="A43" s="5" t="s">
        <v>176</v>
      </c>
      <c r="B43">
        <v>8.4</v>
      </c>
      <c r="C43">
        <v>12.5</v>
      </c>
      <c r="D43">
        <v>156.25</v>
      </c>
      <c r="E43">
        <v>143.75</v>
      </c>
    </row>
    <row r="44" spans="1:5" x14ac:dyDescent="0.3">
      <c r="A44" s="4" t="s">
        <v>24</v>
      </c>
      <c r="B44">
        <v>8</v>
      </c>
      <c r="C44">
        <v>68.75</v>
      </c>
      <c r="D44">
        <v>150</v>
      </c>
      <c r="E44">
        <v>81.25</v>
      </c>
    </row>
    <row r="45" spans="1:5" x14ac:dyDescent="0.3">
      <c r="A45" s="5" t="s">
        <v>174</v>
      </c>
      <c r="B45">
        <v>8</v>
      </c>
      <c r="C45">
        <v>68.75</v>
      </c>
      <c r="D45">
        <v>150</v>
      </c>
      <c r="E45">
        <v>81.25</v>
      </c>
    </row>
    <row r="46" spans="1:5" x14ac:dyDescent="0.3">
      <c r="A46" s="4" t="s">
        <v>25</v>
      </c>
      <c r="B46">
        <v>8</v>
      </c>
      <c r="C46">
        <v>22.5</v>
      </c>
      <c r="D46">
        <v>81.25</v>
      </c>
      <c r="E46">
        <v>58.75</v>
      </c>
    </row>
    <row r="47" spans="1:5" x14ac:dyDescent="0.3">
      <c r="A47" s="5" t="s">
        <v>169</v>
      </c>
      <c r="B47">
        <v>8</v>
      </c>
      <c r="C47">
        <v>22.5</v>
      </c>
      <c r="D47">
        <v>81.25</v>
      </c>
      <c r="E47">
        <v>58.75</v>
      </c>
    </row>
    <row r="48" spans="1:5" x14ac:dyDescent="0.3">
      <c r="A48" s="4" t="s">
        <v>13</v>
      </c>
      <c r="B48">
        <v>9.3000000000000007</v>
      </c>
      <c r="C48">
        <v>25</v>
      </c>
      <c r="D48">
        <v>73.3</v>
      </c>
      <c r="E48">
        <v>48.3</v>
      </c>
    </row>
    <row r="49" spans="1:5" x14ac:dyDescent="0.3">
      <c r="A49" s="5" t="s">
        <v>170</v>
      </c>
      <c r="B49">
        <v>9.3000000000000007</v>
      </c>
      <c r="C49">
        <v>25</v>
      </c>
      <c r="D49">
        <v>73.3</v>
      </c>
      <c r="E49">
        <v>48.3</v>
      </c>
    </row>
    <row r="50" spans="1:5" x14ac:dyDescent="0.3">
      <c r="A50" s="4" t="s">
        <v>23</v>
      </c>
      <c r="B50">
        <v>7.6</v>
      </c>
      <c r="C50">
        <v>25</v>
      </c>
      <c r="D50">
        <v>45</v>
      </c>
      <c r="E50">
        <v>20</v>
      </c>
    </row>
    <row r="51" spans="1:5" x14ac:dyDescent="0.3">
      <c r="A51" s="5" t="s">
        <v>186</v>
      </c>
      <c r="B51">
        <v>7.6</v>
      </c>
      <c r="C51">
        <v>25</v>
      </c>
      <c r="D51">
        <v>45</v>
      </c>
      <c r="E51">
        <v>20</v>
      </c>
    </row>
    <row r="52" spans="1:5" x14ac:dyDescent="0.3">
      <c r="A52" s="4" t="s">
        <v>26</v>
      </c>
      <c r="B52">
        <v>8.3000000000000007</v>
      </c>
      <c r="C52">
        <v>3.125</v>
      </c>
      <c r="D52">
        <v>42.612499999999997</v>
      </c>
      <c r="E52">
        <v>39.487499999999997</v>
      </c>
    </row>
    <row r="53" spans="1:5" x14ac:dyDescent="0.3">
      <c r="A53" s="5" t="s">
        <v>206</v>
      </c>
      <c r="B53">
        <v>8.3000000000000007</v>
      </c>
      <c r="C53">
        <v>3.125</v>
      </c>
      <c r="D53">
        <v>42.612499999999997</v>
      </c>
      <c r="E53">
        <v>39.487499999999997</v>
      </c>
    </row>
    <row r="54" spans="1:5" x14ac:dyDescent="0.3">
      <c r="A54" s="4" t="s">
        <v>12</v>
      </c>
      <c r="B54">
        <v>7.9</v>
      </c>
      <c r="C54">
        <v>11.125</v>
      </c>
      <c r="D54">
        <v>28.875</v>
      </c>
      <c r="E54">
        <v>17.75</v>
      </c>
    </row>
    <row r="55" spans="1:5" x14ac:dyDescent="0.3">
      <c r="A55" s="5" t="s">
        <v>172</v>
      </c>
      <c r="B55">
        <v>7.4</v>
      </c>
      <c r="C55">
        <v>4.875</v>
      </c>
      <c r="D55">
        <v>17</v>
      </c>
      <c r="E55">
        <v>12.125</v>
      </c>
    </row>
    <row r="56" spans="1:5" x14ac:dyDescent="0.3">
      <c r="A56" s="5" t="s">
        <v>173</v>
      </c>
      <c r="B56">
        <v>8.4</v>
      </c>
      <c r="C56">
        <v>6.25</v>
      </c>
      <c r="D56">
        <v>11.875</v>
      </c>
      <c r="E56">
        <v>5.625</v>
      </c>
    </row>
    <row r="57" spans="1:5" x14ac:dyDescent="0.3">
      <c r="A57" s="4" t="s">
        <v>10</v>
      </c>
      <c r="B57">
        <v>8</v>
      </c>
      <c r="C57">
        <v>5</v>
      </c>
      <c r="D57">
        <v>25</v>
      </c>
      <c r="E57">
        <v>20</v>
      </c>
    </row>
    <row r="58" spans="1:5" x14ac:dyDescent="0.3">
      <c r="A58" s="5" t="s">
        <v>205</v>
      </c>
      <c r="B58">
        <v>8</v>
      </c>
      <c r="C58">
        <v>5</v>
      </c>
      <c r="D58">
        <v>25</v>
      </c>
      <c r="E58">
        <v>20</v>
      </c>
    </row>
    <row r="59" spans="1:5" x14ac:dyDescent="0.3">
      <c r="A59" s="4" t="s">
        <v>22</v>
      </c>
      <c r="B59">
        <v>8.1</v>
      </c>
      <c r="C59">
        <v>1.25</v>
      </c>
      <c r="D59">
        <v>5.125</v>
      </c>
      <c r="E59">
        <v>3.875</v>
      </c>
    </row>
    <row r="60" spans="1:5" x14ac:dyDescent="0.3">
      <c r="A60" s="5" t="s">
        <v>202</v>
      </c>
      <c r="B60">
        <v>8.1</v>
      </c>
      <c r="C60">
        <v>1.25</v>
      </c>
      <c r="D60">
        <v>5.125</v>
      </c>
      <c r="E60">
        <v>3.875</v>
      </c>
    </row>
    <row r="61" spans="1:5" x14ac:dyDescent="0.3">
      <c r="A61" s="4" t="s">
        <v>18</v>
      </c>
      <c r="B61">
        <v>8.6</v>
      </c>
      <c r="C61">
        <v>3.18</v>
      </c>
      <c r="D61">
        <v>3.3</v>
      </c>
      <c r="E61">
        <v>0.12</v>
      </c>
    </row>
    <row r="62" spans="1:5" x14ac:dyDescent="0.3">
      <c r="A62" s="5" t="s">
        <v>177</v>
      </c>
      <c r="B62">
        <v>8.6</v>
      </c>
      <c r="C62">
        <v>3.18</v>
      </c>
      <c r="D62">
        <v>3.3</v>
      </c>
      <c r="E62">
        <v>0.12</v>
      </c>
    </row>
    <row r="63" spans="1:5" x14ac:dyDescent="0.3">
      <c r="A63" s="4" t="s">
        <v>159</v>
      </c>
      <c r="B63">
        <v>8.3000000000000007</v>
      </c>
      <c r="C63">
        <v>0.875</v>
      </c>
      <c r="D63">
        <v>1.25</v>
      </c>
      <c r="E63">
        <v>0.375</v>
      </c>
    </row>
    <row r="64" spans="1:5" x14ac:dyDescent="0.3">
      <c r="A64" s="5" t="s">
        <v>175</v>
      </c>
      <c r="B64">
        <v>8.3000000000000007</v>
      </c>
      <c r="C64">
        <v>0.875</v>
      </c>
      <c r="D64">
        <v>1.25</v>
      </c>
      <c r="E64">
        <v>0.375</v>
      </c>
    </row>
    <row r="65" spans="1:2" x14ac:dyDescent="0.3">
      <c r="A65" s="4" t="s">
        <v>9</v>
      </c>
      <c r="B65">
        <v>8.1</v>
      </c>
    </row>
    <row r="66" spans="1:2" x14ac:dyDescent="0.3">
      <c r="A66" s="5" t="s">
        <v>195</v>
      </c>
      <c r="B66">
        <v>8.1</v>
      </c>
    </row>
  </sheetData>
  <autoFilter ref="A5:E31" xr:uid="{89917289-BA44-4F6D-A2C1-DE6C2195D967}"/>
  <mergeCells count="1">
    <mergeCell ref="A1:J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G40"/>
  <sheetViews>
    <sheetView topLeftCell="D1" zoomScale="175" zoomScaleNormal="175" workbookViewId="0">
      <selection activeCell="H9" sqref="H9"/>
    </sheetView>
  </sheetViews>
  <sheetFormatPr defaultRowHeight="14.4" x14ac:dyDescent="0.3"/>
  <cols>
    <col min="1" max="1" width="44.88671875" bestFit="1" customWidth="1"/>
    <col min="2" max="2" width="10.5546875" bestFit="1" customWidth="1"/>
    <col min="3" max="3" width="14.6640625" customWidth="1"/>
    <col min="4" max="4" width="12.44140625" customWidth="1"/>
    <col min="5" max="5" width="26.44140625" bestFit="1" customWidth="1"/>
    <col min="6" max="6" width="12.44140625" customWidth="1"/>
    <col min="7" max="7" width="14.109375" customWidth="1"/>
  </cols>
  <sheetData>
    <row r="1" spans="1:7" x14ac:dyDescent="0.3">
      <c r="A1" s="1" t="s">
        <v>115</v>
      </c>
      <c r="B1" s="1" t="s">
        <v>1</v>
      </c>
      <c r="C1" s="1" t="s">
        <v>2</v>
      </c>
      <c r="D1" s="1" t="s">
        <v>3</v>
      </c>
      <c r="E1" s="1" t="s">
        <v>4</v>
      </c>
      <c r="F1" s="1" t="s">
        <v>5</v>
      </c>
      <c r="G1" s="1" t="s">
        <v>157</v>
      </c>
    </row>
    <row r="2" spans="1:7" x14ac:dyDescent="0.3">
      <c r="A2" t="s">
        <v>137</v>
      </c>
      <c r="B2" t="s">
        <v>7</v>
      </c>
      <c r="C2">
        <v>1972</v>
      </c>
      <c r="D2">
        <v>9.1999999999999993</v>
      </c>
      <c r="E2" t="s">
        <v>119</v>
      </c>
      <c r="F2">
        <v>5</v>
      </c>
    </row>
    <row r="3" spans="1:7" x14ac:dyDescent="0.3">
      <c r="A3" t="s">
        <v>125</v>
      </c>
      <c r="B3" t="s">
        <v>6</v>
      </c>
      <c r="C3">
        <v>1975</v>
      </c>
      <c r="D3">
        <v>8.1</v>
      </c>
      <c r="E3" t="s">
        <v>9</v>
      </c>
      <c r="F3">
        <v>1</v>
      </c>
    </row>
    <row r="4" spans="1:7" x14ac:dyDescent="0.3">
      <c r="A4" t="s">
        <v>139</v>
      </c>
      <c r="B4" t="s">
        <v>7</v>
      </c>
      <c r="C4">
        <v>1993</v>
      </c>
      <c r="D4">
        <v>9</v>
      </c>
      <c r="E4" t="s">
        <v>21</v>
      </c>
      <c r="F4">
        <v>5</v>
      </c>
    </row>
    <row r="5" spans="1:7" x14ac:dyDescent="0.3">
      <c r="A5" t="s">
        <v>140</v>
      </c>
      <c r="B5" t="s">
        <v>7</v>
      </c>
      <c r="C5">
        <v>1993</v>
      </c>
      <c r="D5">
        <v>8.1999999999999993</v>
      </c>
      <c r="E5" t="s">
        <v>21</v>
      </c>
      <c r="F5">
        <v>5</v>
      </c>
    </row>
    <row r="6" spans="1:7" x14ac:dyDescent="0.3">
      <c r="A6" t="s">
        <v>130</v>
      </c>
      <c r="B6" t="s">
        <v>7</v>
      </c>
      <c r="C6">
        <v>1994</v>
      </c>
      <c r="D6">
        <v>9.3000000000000007</v>
      </c>
      <c r="E6" t="s">
        <v>13</v>
      </c>
      <c r="F6">
        <v>5</v>
      </c>
    </row>
    <row r="7" spans="1:7" x14ac:dyDescent="0.3">
      <c r="A7" t="s">
        <v>126</v>
      </c>
      <c r="B7" t="s">
        <v>6</v>
      </c>
      <c r="C7">
        <v>1995</v>
      </c>
      <c r="D7">
        <v>8</v>
      </c>
      <c r="E7" t="s">
        <v>10</v>
      </c>
      <c r="F7">
        <v>1</v>
      </c>
    </row>
    <row r="8" spans="1:7" x14ac:dyDescent="0.3">
      <c r="A8" t="s">
        <v>135</v>
      </c>
      <c r="B8" t="s">
        <v>7</v>
      </c>
      <c r="C8">
        <v>1997</v>
      </c>
      <c r="D8">
        <v>7.9</v>
      </c>
      <c r="E8" t="s">
        <v>17</v>
      </c>
      <c r="F8">
        <v>5</v>
      </c>
    </row>
    <row r="9" spans="1:7" x14ac:dyDescent="0.3">
      <c r="A9" t="s">
        <v>134</v>
      </c>
      <c r="B9" t="s">
        <v>7</v>
      </c>
      <c r="C9">
        <v>2000</v>
      </c>
      <c r="D9">
        <v>8.5</v>
      </c>
      <c r="E9" t="s">
        <v>16</v>
      </c>
      <c r="F9">
        <v>5</v>
      </c>
    </row>
    <row r="10" spans="1:7" x14ac:dyDescent="0.3">
      <c r="A10" t="s">
        <v>128</v>
      </c>
      <c r="B10" t="s">
        <v>6</v>
      </c>
      <c r="C10">
        <v>2001</v>
      </c>
      <c r="D10">
        <v>7.4</v>
      </c>
      <c r="E10" t="s">
        <v>12</v>
      </c>
      <c r="F10">
        <v>1</v>
      </c>
    </row>
    <row r="11" spans="1:7" x14ac:dyDescent="0.3">
      <c r="A11" t="s">
        <v>145</v>
      </c>
      <c r="B11" t="s">
        <v>6</v>
      </c>
      <c r="C11">
        <v>2003</v>
      </c>
      <c r="D11">
        <v>8.1</v>
      </c>
      <c r="E11" t="s">
        <v>22</v>
      </c>
      <c r="F11">
        <v>1</v>
      </c>
    </row>
    <row r="12" spans="1:7" x14ac:dyDescent="0.3">
      <c r="A12" t="s">
        <v>133</v>
      </c>
      <c r="B12" t="s">
        <v>7</v>
      </c>
      <c r="C12">
        <v>2006</v>
      </c>
      <c r="D12">
        <v>8</v>
      </c>
      <c r="E12" t="s">
        <v>15</v>
      </c>
      <c r="F12">
        <v>5</v>
      </c>
    </row>
    <row r="13" spans="1:7" x14ac:dyDescent="0.3">
      <c r="A13" t="s">
        <v>144</v>
      </c>
      <c r="B13" t="s">
        <v>6</v>
      </c>
      <c r="C13">
        <v>2007</v>
      </c>
      <c r="D13">
        <v>8.3000000000000007</v>
      </c>
      <c r="F13">
        <v>1</v>
      </c>
    </row>
    <row r="14" spans="1:7" x14ac:dyDescent="0.3">
      <c r="A14" t="s">
        <v>138</v>
      </c>
      <c r="B14" t="s">
        <v>7</v>
      </c>
      <c r="C14">
        <v>2008</v>
      </c>
      <c r="D14">
        <v>9</v>
      </c>
      <c r="E14" t="s">
        <v>20</v>
      </c>
      <c r="F14">
        <v>5</v>
      </c>
    </row>
    <row r="15" spans="1:7" x14ac:dyDescent="0.3">
      <c r="A15" t="s">
        <v>127</v>
      </c>
      <c r="B15" t="s">
        <v>6</v>
      </c>
      <c r="C15">
        <v>2009</v>
      </c>
      <c r="D15">
        <v>8.4</v>
      </c>
      <c r="E15" t="s">
        <v>117</v>
      </c>
      <c r="F15">
        <v>1</v>
      </c>
    </row>
    <row r="16" spans="1:7" x14ac:dyDescent="0.3">
      <c r="A16" t="s">
        <v>136</v>
      </c>
      <c r="B16" t="s">
        <v>7</v>
      </c>
      <c r="C16">
        <v>2009</v>
      </c>
      <c r="D16">
        <v>7.8</v>
      </c>
      <c r="E16" t="s">
        <v>19</v>
      </c>
      <c r="F16">
        <v>5</v>
      </c>
    </row>
    <row r="17" spans="1:6" x14ac:dyDescent="0.3">
      <c r="A17" t="s">
        <v>131</v>
      </c>
      <c r="B17" t="s">
        <v>7</v>
      </c>
      <c r="C17">
        <v>2010</v>
      </c>
      <c r="D17">
        <v>8.8000000000000007</v>
      </c>
      <c r="E17" t="s">
        <v>14</v>
      </c>
      <c r="F17">
        <v>5</v>
      </c>
    </row>
    <row r="18" spans="1:6" x14ac:dyDescent="0.3">
      <c r="A18" t="s">
        <v>153</v>
      </c>
      <c r="B18" t="s">
        <v>7</v>
      </c>
      <c r="C18">
        <v>2011</v>
      </c>
      <c r="D18">
        <v>6.9</v>
      </c>
      <c r="E18" t="s">
        <v>8</v>
      </c>
      <c r="F18">
        <v>5</v>
      </c>
    </row>
    <row r="19" spans="1:6" x14ac:dyDescent="0.3">
      <c r="A19" t="s">
        <v>122</v>
      </c>
      <c r="B19" t="s">
        <v>7</v>
      </c>
      <c r="C19">
        <v>2013</v>
      </c>
      <c r="D19">
        <v>6.8</v>
      </c>
      <c r="E19" t="s">
        <v>8</v>
      </c>
      <c r="F19">
        <v>5</v>
      </c>
    </row>
    <row r="20" spans="1:6" x14ac:dyDescent="0.3">
      <c r="A20" t="s">
        <v>132</v>
      </c>
      <c r="B20" t="s">
        <v>7</v>
      </c>
      <c r="C20">
        <v>2014</v>
      </c>
      <c r="D20">
        <v>8.6</v>
      </c>
      <c r="E20" t="s">
        <v>14</v>
      </c>
      <c r="F20">
        <v>5</v>
      </c>
    </row>
    <row r="21" spans="1:6" x14ac:dyDescent="0.3">
      <c r="A21" t="s">
        <v>146</v>
      </c>
      <c r="B21" t="s">
        <v>6</v>
      </c>
      <c r="C21">
        <v>2014</v>
      </c>
      <c r="D21">
        <v>8.1</v>
      </c>
      <c r="E21" t="s">
        <v>11</v>
      </c>
      <c r="F21">
        <v>1</v>
      </c>
    </row>
    <row r="22" spans="1:6" x14ac:dyDescent="0.3">
      <c r="A22" t="s">
        <v>154</v>
      </c>
      <c r="B22" t="s">
        <v>7</v>
      </c>
      <c r="C22">
        <v>2014</v>
      </c>
      <c r="D22">
        <v>7.8</v>
      </c>
      <c r="E22" t="s">
        <v>8</v>
      </c>
      <c r="F22">
        <v>5</v>
      </c>
    </row>
    <row r="23" spans="1:6" x14ac:dyDescent="0.3">
      <c r="A23" t="s">
        <v>129</v>
      </c>
      <c r="B23" t="s">
        <v>6</v>
      </c>
      <c r="C23">
        <v>2015</v>
      </c>
      <c r="D23">
        <v>7.2</v>
      </c>
      <c r="F23">
        <v>1</v>
      </c>
    </row>
    <row r="24" spans="1:6" x14ac:dyDescent="0.3">
      <c r="A24" t="s">
        <v>150</v>
      </c>
      <c r="B24" t="s">
        <v>6</v>
      </c>
      <c r="C24">
        <v>2015</v>
      </c>
      <c r="D24">
        <v>8</v>
      </c>
      <c r="E24" t="s">
        <v>25</v>
      </c>
      <c r="F24">
        <v>2</v>
      </c>
    </row>
    <row r="25" spans="1:6" x14ac:dyDescent="0.3">
      <c r="A25" t="s">
        <v>152</v>
      </c>
      <c r="B25" t="s">
        <v>6</v>
      </c>
      <c r="C25">
        <v>2015</v>
      </c>
      <c r="D25">
        <v>8.1</v>
      </c>
      <c r="E25" t="s">
        <v>27</v>
      </c>
      <c r="F25">
        <v>1</v>
      </c>
    </row>
    <row r="26" spans="1:6" x14ac:dyDescent="0.3">
      <c r="A26" t="s">
        <v>123</v>
      </c>
      <c r="B26" t="s">
        <v>7</v>
      </c>
      <c r="C26">
        <v>2017</v>
      </c>
      <c r="D26">
        <v>7.9</v>
      </c>
      <c r="E26" t="s">
        <v>118</v>
      </c>
      <c r="F26">
        <v>5</v>
      </c>
    </row>
    <row r="27" spans="1:6" x14ac:dyDescent="0.3">
      <c r="A27" t="s">
        <v>143</v>
      </c>
      <c r="B27" t="s">
        <v>7</v>
      </c>
      <c r="C27">
        <v>2018</v>
      </c>
      <c r="D27">
        <v>8.4</v>
      </c>
      <c r="E27" t="s">
        <v>8</v>
      </c>
      <c r="F27">
        <v>5</v>
      </c>
    </row>
    <row r="28" spans="1:6" x14ac:dyDescent="0.3">
      <c r="A28" t="s">
        <v>147</v>
      </c>
      <c r="B28" t="s">
        <v>6</v>
      </c>
      <c r="C28">
        <v>2018</v>
      </c>
      <c r="D28" t="s">
        <v>114</v>
      </c>
      <c r="E28" t="s">
        <v>11</v>
      </c>
      <c r="F28">
        <v>1</v>
      </c>
    </row>
    <row r="29" spans="1:6" x14ac:dyDescent="0.3">
      <c r="A29" t="s">
        <v>155</v>
      </c>
      <c r="B29" t="s">
        <v>6</v>
      </c>
      <c r="C29">
        <v>2018</v>
      </c>
      <c r="D29">
        <v>1.9</v>
      </c>
      <c r="E29" t="s">
        <v>27</v>
      </c>
      <c r="F29">
        <v>1</v>
      </c>
    </row>
    <row r="30" spans="1:6" x14ac:dyDescent="0.3">
      <c r="A30" t="s">
        <v>141</v>
      </c>
      <c r="B30" t="s">
        <v>7</v>
      </c>
      <c r="C30">
        <v>2019</v>
      </c>
      <c r="D30">
        <v>8.5</v>
      </c>
      <c r="F30">
        <v>5</v>
      </c>
    </row>
    <row r="31" spans="1:6" x14ac:dyDescent="0.3">
      <c r="A31" t="s">
        <v>142</v>
      </c>
      <c r="B31" t="s">
        <v>7</v>
      </c>
      <c r="C31">
        <v>2019</v>
      </c>
      <c r="D31">
        <v>8.4</v>
      </c>
      <c r="E31" t="s">
        <v>8</v>
      </c>
      <c r="F31">
        <v>5</v>
      </c>
    </row>
    <row r="32" spans="1:6" x14ac:dyDescent="0.3">
      <c r="A32" t="s">
        <v>141</v>
      </c>
      <c r="B32" t="s">
        <v>7</v>
      </c>
      <c r="C32">
        <v>2019</v>
      </c>
      <c r="D32">
        <v>8.5</v>
      </c>
      <c r="F32">
        <v>5</v>
      </c>
    </row>
    <row r="33" spans="1:6" x14ac:dyDescent="0.3">
      <c r="A33" t="s">
        <v>148</v>
      </c>
      <c r="B33" t="s">
        <v>6</v>
      </c>
      <c r="C33">
        <v>2021</v>
      </c>
      <c r="D33">
        <v>7.6</v>
      </c>
      <c r="E33" t="s">
        <v>23</v>
      </c>
      <c r="F33">
        <v>2</v>
      </c>
    </row>
    <row r="34" spans="1:6" x14ac:dyDescent="0.3">
      <c r="A34" t="s">
        <v>156</v>
      </c>
      <c r="B34" t="s">
        <v>6</v>
      </c>
      <c r="C34">
        <v>2021</v>
      </c>
      <c r="D34">
        <v>8.4</v>
      </c>
      <c r="E34" t="s">
        <v>12</v>
      </c>
      <c r="F34">
        <v>1</v>
      </c>
    </row>
    <row r="35" spans="1:6" x14ac:dyDescent="0.3">
      <c r="A35" t="s">
        <v>120</v>
      </c>
      <c r="B35" t="s">
        <v>6</v>
      </c>
      <c r="C35">
        <v>2022</v>
      </c>
      <c r="D35">
        <v>8.4</v>
      </c>
      <c r="E35" t="s">
        <v>116</v>
      </c>
      <c r="F35">
        <v>3</v>
      </c>
    </row>
    <row r="36" spans="1:6" x14ac:dyDescent="0.3">
      <c r="A36" t="s">
        <v>121</v>
      </c>
      <c r="B36" t="s">
        <v>7</v>
      </c>
      <c r="C36">
        <v>2022</v>
      </c>
      <c r="D36">
        <v>7</v>
      </c>
      <c r="E36" t="s">
        <v>8</v>
      </c>
      <c r="F36">
        <v>5</v>
      </c>
    </row>
    <row r="37" spans="1:6" x14ac:dyDescent="0.3">
      <c r="A37" t="s">
        <v>124</v>
      </c>
      <c r="B37" t="s">
        <v>7</v>
      </c>
      <c r="C37">
        <v>2022</v>
      </c>
      <c r="D37">
        <v>6.8</v>
      </c>
      <c r="E37" t="s">
        <v>8</v>
      </c>
      <c r="F37">
        <v>5</v>
      </c>
    </row>
    <row r="38" spans="1:6" x14ac:dyDescent="0.3">
      <c r="A38" t="s">
        <v>124</v>
      </c>
      <c r="B38" t="s">
        <v>7</v>
      </c>
      <c r="C38">
        <v>2022</v>
      </c>
      <c r="D38">
        <v>6.8</v>
      </c>
      <c r="E38" t="s">
        <v>8</v>
      </c>
      <c r="F38">
        <v>5</v>
      </c>
    </row>
    <row r="39" spans="1:6" x14ac:dyDescent="0.3">
      <c r="A39" t="s">
        <v>149</v>
      </c>
      <c r="B39" t="s">
        <v>6</v>
      </c>
      <c r="C39">
        <v>2022</v>
      </c>
      <c r="D39">
        <v>8</v>
      </c>
      <c r="E39" t="s">
        <v>24</v>
      </c>
      <c r="F39">
        <v>2</v>
      </c>
    </row>
    <row r="40" spans="1:6" x14ac:dyDescent="0.3">
      <c r="A40" t="s">
        <v>151</v>
      </c>
      <c r="B40" t="s">
        <v>6</v>
      </c>
      <c r="C40">
        <v>2022</v>
      </c>
      <c r="D40">
        <v>8.3000000000000007</v>
      </c>
      <c r="E40" t="s">
        <v>26</v>
      </c>
      <c r="F40">
        <v>1</v>
      </c>
    </row>
  </sheetData>
  <pageMargins left="0.7" right="0.7" top="0.75" bottom="0.75" header="0.3" footer="0.3"/>
  <pageSetup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51C0-D968-407B-BACE-9EC26BF67B79}">
  <sheetPr codeName="Sheet5"/>
  <dimension ref="A1:E41"/>
  <sheetViews>
    <sheetView zoomScale="160" zoomScaleNormal="160" workbookViewId="0">
      <selection activeCell="E14" sqref="E14"/>
    </sheetView>
  </sheetViews>
  <sheetFormatPr defaultRowHeight="14.4" x14ac:dyDescent="0.3"/>
  <cols>
    <col min="1" max="1" width="9.88671875" customWidth="1"/>
    <col min="5" max="5" width="9.44140625" customWidth="1"/>
  </cols>
  <sheetData>
    <row r="1" spans="1:5" x14ac:dyDescent="0.3">
      <c r="A1" s="1" t="s">
        <v>0</v>
      </c>
      <c r="B1" s="1" t="s">
        <v>28</v>
      </c>
      <c r="C1" s="1" t="s">
        <v>29</v>
      </c>
      <c r="D1" s="1" t="s">
        <v>30</v>
      </c>
      <c r="E1" s="1" t="s">
        <v>31</v>
      </c>
    </row>
    <row r="2" spans="1:5" x14ac:dyDescent="0.3">
      <c r="A2">
        <v>101</v>
      </c>
      <c r="B2">
        <v>1</v>
      </c>
      <c r="C2">
        <v>12.5</v>
      </c>
      <c r="D2" t="s">
        <v>32</v>
      </c>
      <c r="E2" t="s">
        <v>33</v>
      </c>
    </row>
    <row r="3" spans="1:5" x14ac:dyDescent="0.3">
      <c r="A3">
        <v>102</v>
      </c>
      <c r="B3">
        <v>200</v>
      </c>
      <c r="C3">
        <v>954.8</v>
      </c>
      <c r="D3" t="s">
        <v>34</v>
      </c>
      <c r="E3" t="s">
        <v>35</v>
      </c>
    </row>
    <row r="4" spans="1:5" x14ac:dyDescent="0.3">
      <c r="A4">
        <v>103</v>
      </c>
      <c r="B4">
        <v>165</v>
      </c>
      <c r="C4">
        <v>644.79999999999995</v>
      </c>
      <c r="D4" t="s">
        <v>34</v>
      </c>
      <c r="E4" t="s">
        <v>35</v>
      </c>
    </row>
    <row r="5" spans="1:5" x14ac:dyDescent="0.3">
      <c r="A5">
        <v>104</v>
      </c>
      <c r="B5">
        <v>180</v>
      </c>
      <c r="C5">
        <v>854</v>
      </c>
      <c r="D5" t="s">
        <v>34</v>
      </c>
      <c r="E5" t="s">
        <v>35</v>
      </c>
    </row>
    <row r="6" spans="1:5" x14ac:dyDescent="0.3">
      <c r="A6">
        <v>105</v>
      </c>
      <c r="B6">
        <v>250</v>
      </c>
      <c r="C6">
        <v>670</v>
      </c>
      <c r="D6" t="s">
        <v>34</v>
      </c>
      <c r="E6" t="s">
        <v>35</v>
      </c>
    </row>
    <row r="7" spans="1:5" x14ac:dyDescent="0.3">
      <c r="A7">
        <v>107</v>
      </c>
      <c r="B7">
        <v>400</v>
      </c>
      <c r="C7">
        <v>2000</v>
      </c>
      <c r="D7" t="s">
        <v>34</v>
      </c>
      <c r="E7" t="s">
        <v>33</v>
      </c>
    </row>
    <row r="8" spans="1:5" x14ac:dyDescent="0.3">
      <c r="A8">
        <v>108</v>
      </c>
      <c r="B8">
        <v>550</v>
      </c>
      <c r="C8">
        <v>4000</v>
      </c>
      <c r="D8" t="s">
        <v>34</v>
      </c>
      <c r="E8" t="s">
        <v>33</v>
      </c>
    </row>
    <row r="9" spans="1:5" x14ac:dyDescent="0.3">
      <c r="A9">
        <v>109</v>
      </c>
      <c r="B9">
        <v>390</v>
      </c>
      <c r="C9">
        <v>1360</v>
      </c>
      <c r="D9" t="s">
        <v>34</v>
      </c>
      <c r="E9" t="s">
        <v>33</v>
      </c>
    </row>
    <row r="10" spans="1:5" x14ac:dyDescent="0.3">
      <c r="A10">
        <v>110</v>
      </c>
      <c r="B10">
        <v>1.4</v>
      </c>
      <c r="C10">
        <v>3.5</v>
      </c>
      <c r="D10" t="s">
        <v>32</v>
      </c>
      <c r="E10" t="s">
        <v>33</v>
      </c>
    </row>
    <row r="11" spans="1:5" x14ac:dyDescent="0.3">
      <c r="A11">
        <v>111</v>
      </c>
      <c r="B11">
        <v>25</v>
      </c>
      <c r="C11">
        <v>73.3</v>
      </c>
      <c r="D11" t="s">
        <v>34</v>
      </c>
      <c r="E11" t="s">
        <v>35</v>
      </c>
    </row>
    <row r="12" spans="1:5" x14ac:dyDescent="0.3">
      <c r="A12">
        <v>113</v>
      </c>
      <c r="B12">
        <v>165</v>
      </c>
      <c r="C12">
        <v>701.8</v>
      </c>
      <c r="D12" t="s">
        <v>34</v>
      </c>
      <c r="E12" t="s">
        <v>35</v>
      </c>
    </row>
    <row r="13" spans="1:5" x14ac:dyDescent="0.3">
      <c r="A13">
        <v>114</v>
      </c>
      <c r="B13">
        <v>205</v>
      </c>
      <c r="C13">
        <v>365.3</v>
      </c>
      <c r="D13" t="s">
        <v>34</v>
      </c>
      <c r="E13" t="s">
        <v>35</v>
      </c>
    </row>
    <row r="14" spans="1:5" x14ac:dyDescent="0.3">
      <c r="A14">
        <v>115</v>
      </c>
      <c r="B14">
        <v>55</v>
      </c>
      <c r="C14">
        <v>307.10000000000002</v>
      </c>
      <c r="D14" t="s">
        <v>34</v>
      </c>
      <c r="E14" t="s">
        <v>35</v>
      </c>
    </row>
    <row r="15" spans="1:5" x14ac:dyDescent="0.3">
      <c r="A15">
        <v>116</v>
      </c>
      <c r="B15">
        <v>103</v>
      </c>
      <c r="C15">
        <v>460.5</v>
      </c>
      <c r="D15" t="s">
        <v>34</v>
      </c>
      <c r="E15" t="s">
        <v>35</v>
      </c>
    </row>
    <row r="16" spans="1:5" x14ac:dyDescent="0.3">
      <c r="A16">
        <v>117</v>
      </c>
      <c r="B16">
        <v>200</v>
      </c>
      <c r="C16">
        <v>2202</v>
      </c>
      <c r="D16" t="s">
        <v>34</v>
      </c>
      <c r="E16" t="s">
        <v>35</v>
      </c>
    </row>
    <row r="17" spans="1:5" x14ac:dyDescent="0.3">
      <c r="A17">
        <v>118</v>
      </c>
      <c r="B17">
        <v>3.18</v>
      </c>
      <c r="C17">
        <v>3.3</v>
      </c>
      <c r="D17" t="s">
        <v>34</v>
      </c>
      <c r="E17" t="s">
        <v>35</v>
      </c>
    </row>
    <row r="18" spans="1:5" x14ac:dyDescent="0.3">
      <c r="A18">
        <v>119</v>
      </c>
      <c r="B18">
        <v>237</v>
      </c>
      <c r="C18">
        <v>2847</v>
      </c>
      <c r="D18" t="s">
        <v>34</v>
      </c>
      <c r="E18" t="s">
        <v>35</v>
      </c>
    </row>
    <row r="19" spans="1:5" x14ac:dyDescent="0.3">
      <c r="A19">
        <v>120</v>
      </c>
      <c r="B19">
        <v>7.2</v>
      </c>
      <c r="C19">
        <v>291</v>
      </c>
      <c r="D19" t="s">
        <v>34</v>
      </c>
      <c r="E19" t="s">
        <v>35</v>
      </c>
    </row>
    <row r="20" spans="1:5" x14ac:dyDescent="0.3">
      <c r="A20">
        <v>121</v>
      </c>
      <c r="B20">
        <v>185</v>
      </c>
      <c r="C20">
        <v>1006</v>
      </c>
      <c r="D20" t="s">
        <v>34</v>
      </c>
      <c r="E20" t="s">
        <v>35</v>
      </c>
    </row>
    <row r="21" spans="1:5" x14ac:dyDescent="0.3">
      <c r="A21">
        <v>122</v>
      </c>
      <c r="B21">
        <v>22</v>
      </c>
      <c r="C21">
        <v>322.2</v>
      </c>
      <c r="D21" t="s">
        <v>34</v>
      </c>
      <c r="E21" t="s">
        <v>35</v>
      </c>
    </row>
    <row r="22" spans="1:5" x14ac:dyDescent="0.3">
      <c r="A22">
        <v>123</v>
      </c>
      <c r="B22">
        <v>63</v>
      </c>
      <c r="C22">
        <v>1046</v>
      </c>
      <c r="D22" t="s">
        <v>34</v>
      </c>
      <c r="E22" t="s">
        <v>35</v>
      </c>
    </row>
    <row r="23" spans="1:5" x14ac:dyDescent="0.3">
      <c r="A23">
        <v>124</v>
      </c>
      <c r="B23">
        <v>15.5</v>
      </c>
      <c r="C23">
        <v>263.10000000000002</v>
      </c>
      <c r="D23" t="s">
        <v>34</v>
      </c>
      <c r="E23" t="s">
        <v>35</v>
      </c>
    </row>
    <row r="24" spans="1:5" x14ac:dyDescent="0.3">
      <c r="A24">
        <v>125</v>
      </c>
      <c r="B24">
        <v>400</v>
      </c>
      <c r="C24">
        <v>2798</v>
      </c>
      <c r="D24" t="s">
        <v>34</v>
      </c>
      <c r="E24" t="s">
        <v>35</v>
      </c>
    </row>
    <row r="25" spans="1:5" x14ac:dyDescent="0.3">
      <c r="A25">
        <v>126</v>
      </c>
      <c r="B25">
        <v>400</v>
      </c>
      <c r="C25">
        <v>2048</v>
      </c>
      <c r="D25" t="s">
        <v>34</v>
      </c>
      <c r="E25" t="s">
        <v>35</v>
      </c>
    </row>
    <row r="26" spans="1:5" x14ac:dyDescent="0.3">
      <c r="A26">
        <v>127</v>
      </c>
      <c r="B26">
        <v>70</v>
      </c>
      <c r="C26">
        <v>100</v>
      </c>
      <c r="D26" t="s">
        <v>34</v>
      </c>
      <c r="E26" t="s">
        <v>33</v>
      </c>
    </row>
    <row r="27" spans="1:5" x14ac:dyDescent="0.3">
      <c r="A27">
        <v>128</v>
      </c>
      <c r="B27">
        <v>120</v>
      </c>
      <c r="C27">
        <v>1350</v>
      </c>
      <c r="D27" t="s">
        <v>34</v>
      </c>
      <c r="E27" t="s">
        <v>33</v>
      </c>
    </row>
    <row r="28" spans="1:5" x14ac:dyDescent="0.3">
      <c r="A28">
        <v>129</v>
      </c>
      <c r="B28">
        <v>100</v>
      </c>
      <c r="C28">
        <v>410</v>
      </c>
      <c r="D28" t="s">
        <v>34</v>
      </c>
      <c r="E28" t="s">
        <v>33</v>
      </c>
    </row>
    <row r="29" spans="1:5" x14ac:dyDescent="0.3">
      <c r="A29">
        <v>130</v>
      </c>
      <c r="B29">
        <v>850</v>
      </c>
      <c r="C29">
        <v>8540</v>
      </c>
      <c r="D29" t="s">
        <v>34</v>
      </c>
      <c r="E29" t="s">
        <v>33</v>
      </c>
    </row>
    <row r="30" spans="1:5" x14ac:dyDescent="0.3">
      <c r="A30">
        <v>131</v>
      </c>
      <c r="B30">
        <v>1</v>
      </c>
      <c r="C30">
        <v>5.9</v>
      </c>
      <c r="D30" t="s">
        <v>32</v>
      </c>
      <c r="E30" t="s">
        <v>33</v>
      </c>
    </row>
    <row r="31" spans="1:5" x14ac:dyDescent="0.3">
      <c r="A31">
        <v>132</v>
      </c>
      <c r="B31">
        <v>2</v>
      </c>
      <c r="C31">
        <v>3.6</v>
      </c>
      <c r="D31" t="s">
        <v>32</v>
      </c>
      <c r="E31" t="s">
        <v>33</v>
      </c>
    </row>
    <row r="32" spans="1:5" x14ac:dyDescent="0.3">
      <c r="A32">
        <v>133</v>
      </c>
      <c r="B32">
        <v>5.5</v>
      </c>
      <c r="C32">
        <v>12</v>
      </c>
      <c r="D32" t="s">
        <v>32</v>
      </c>
      <c r="E32" t="s">
        <v>33</v>
      </c>
    </row>
    <row r="33" spans="1:5" x14ac:dyDescent="0.3">
      <c r="A33">
        <v>134</v>
      </c>
      <c r="B33">
        <v>1.8</v>
      </c>
      <c r="C33">
        <v>6.5</v>
      </c>
      <c r="D33" t="s">
        <v>32</v>
      </c>
      <c r="E33" t="s">
        <v>33</v>
      </c>
    </row>
    <row r="34" spans="1:5" x14ac:dyDescent="0.3">
      <c r="A34">
        <v>135</v>
      </c>
      <c r="B34">
        <v>250</v>
      </c>
      <c r="C34">
        <v>3409</v>
      </c>
      <c r="D34" t="s">
        <v>34</v>
      </c>
      <c r="E34" t="s">
        <v>33</v>
      </c>
    </row>
    <row r="35" spans="1:5" x14ac:dyDescent="0.3">
      <c r="A35">
        <v>136</v>
      </c>
      <c r="B35">
        <v>900</v>
      </c>
      <c r="C35">
        <v>11690</v>
      </c>
      <c r="D35" t="s">
        <v>34</v>
      </c>
      <c r="E35" t="s">
        <v>33</v>
      </c>
    </row>
    <row r="36" spans="1:5" x14ac:dyDescent="0.3">
      <c r="A36">
        <v>137</v>
      </c>
      <c r="B36">
        <v>216.7</v>
      </c>
      <c r="C36">
        <v>370.6</v>
      </c>
      <c r="D36" t="s">
        <v>34</v>
      </c>
      <c r="E36" t="s">
        <v>35</v>
      </c>
    </row>
    <row r="37" spans="1:5" x14ac:dyDescent="0.3">
      <c r="A37">
        <v>138</v>
      </c>
      <c r="B37">
        <v>177</v>
      </c>
      <c r="C37">
        <v>714.4</v>
      </c>
      <c r="D37" t="s">
        <v>34</v>
      </c>
      <c r="E37" t="s">
        <v>35</v>
      </c>
    </row>
    <row r="38" spans="1:5" x14ac:dyDescent="0.3">
      <c r="A38">
        <v>139</v>
      </c>
      <c r="B38">
        <v>1.8</v>
      </c>
      <c r="C38">
        <v>3.1</v>
      </c>
      <c r="D38" t="s">
        <v>32</v>
      </c>
      <c r="E38" t="s">
        <v>33</v>
      </c>
    </row>
    <row r="39" spans="1:5" x14ac:dyDescent="0.3">
      <c r="A39">
        <v>140</v>
      </c>
      <c r="B39">
        <v>500</v>
      </c>
      <c r="C39">
        <v>950</v>
      </c>
      <c r="D39" t="s">
        <v>34</v>
      </c>
      <c r="E39" t="s">
        <v>33</v>
      </c>
    </row>
    <row r="40" spans="1:5" x14ac:dyDescent="0.3">
      <c r="A40">
        <v>406</v>
      </c>
      <c r="B40">
        <v>30</v>
      </c>
      <c r="C40">
        <v>350</v>
      </c>
      <c r="D40" t="s">
        <v>34</v>
      </c>
      <c r="E40" t="s">
        <v>33</v>
      </c>
    </row>
    <row r="41" spans="1:5" x14ac:dyDescent="0.3">
      <c r="A41">
        <v>412</v>
      </c>
      <c r="B41">
        <v>160</v>
      </c>
      <c r="C41">
        <v>836.8</v>
      </c>
      <c r="D41" t="s">
        <v>34</v>
      </c>
      <c r="E41" t="s">
        <v>35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5207-AD4A-4BA5-928C-E78006753CCF}">
  <sheetPr codeName="Sheet6"/>
  <dimension ref="A1:C68"/>
  <sheetViews>
    <sheetView zoomScale="160" zoomScaleNormal="160" workbookViewId="0">
      <selection activeCell="E12" sqref="E12"/>
    </sheetView>
  </sheetViews>
  <sheetFormatPr defaultRowHeight="14.4" x14ac:dyDescent="0.3"/>
  <cols>
    <col min="2" max="2" width="26.44140625" customWidth="1"/>
    <col min="3" max="3" width="10.88671875" customWidth="1"/>
  </cols>
  <sheetData>
    <row r="1" spans="1:3" x14ac:dyDescent="0.3">
      <c r="A1" s="2" t="s">
        <v>36</v>
      </c>
      <c r="B1" s="2" t="s">
        <v>37</v>
      </c>
      <c r="C1" s="2" t="s">
        <v>38</v>
      </c>
    </row>
    <row r="2" spans="1:3" x14ac:dyDescent="0.3">
      <c r="A2">
        <v>50</v>
      </c>
      <c r="B2" t="s">
        <v>39</v>
      </c>
      <c r="C2">
        <v>1986</v>
      </c>
    </row>
    <row r="3" spans="1:3" x14ac:dyDescent="0.3">
      <c r="A3">
        <v>51</v>
      </c>
      <c r="B3" t="s">
        <v>40</v>
      </c>
      <c r="C3">
        <v>1959</v>
      </c>
    </row>
    <row r="4" spans="1:3" x14ac:dyDescent="0.3">
      <c r="A4">
        <v>52</v>
      </c>
      <c r="B4" t="s">
        <v>41</v>
      </c>
      <c r="C4">
        <v>1976</v>
      </c>
    </row>
    <row r="5" spans="1:3" x14ac:dyDescent="0.3">
      <c r="A5">
        <v>53</v>
      </c>
      <c r="B5" t="s">
        <v>42</v>
      </c>
      <c r="C5">
        <v>1989</v>
      </c>
    </row>
    <row r="6" spans="1:3" x14ac:dyDescent="0.3">
      <c r="A6">
        <v>54</v>
      </c>
      <c r="B6" t="s">
        <v>43</v>
      </c>
      <c r="C6">
        <v>1983</v>
      </c>
    </row>
    <row r="7" spans="1:3" x14ac:dyDescent="0.3">
      <c r="A7">
        <v>55</v>
      </c>
      <c r="B7" t="s">
        <v>44</v>
      </c>
      <c r="C7">
        <v>1981</v>
      </c>
    </row>
    <row r="8" spans="1:3" x14ac:dyDescent="0.3">
      <c r="A8">
        <v>56</v>
      </c>
      <c r="B8" t="s">
        <v>45</v>
      </c>
      <c r="C8">
        <v>1981</v>
      </c>
    </row>
    <row r="9" spans="1:3" x14ac:dyDescent="0.3">
      <c r="A9">
        <v>57</v>
      </c>
      <c r="B9" t="s">
        <v>46</v>
      </c>
      <c r="C9">
        <v>1942</v>
      </c>
    </row>
    <row r="10" spans="1:3" x14ac:dyDescent="0.3">
      <c r="A10">
        <v>58</v>
      </c>
      <c r="B10" t="s">
        <v>47</v>
      </c>
      <c r="C10">
        <v>1948</v>
      </c>
    </row>
    <row r="11" spans="1:3" x14ac:dyDescent="0.3">
      <c r="A11">
        <v>59</v>
      </c>
      <c r="B11" t="s">
        <v>48</v>
      </c>
      <c r="C11">
        <v>1965</v>
      </c>
    </row>
    <row r="12" spans="1:3" x14ac:dyDescent="0.3">
      <c r="A12">
        <v>60</v>
      </c>
      <c r="B12" t="s">
        <v>49</v>
      </c>
      <c r="C12">
        <v>1974</v>
      </c>
    </row>
    <row r="13" spans="1:3" x14ac:dyDescent="0.3">
      <c r="A13">
        <v>61</v>
      </c>
      <c r="B13" t="s">
        <v>50</v>
      </c>
      <c r="C13">
        <v>1965</v>
      </c>
    </row>
    <row r="14" spans="1:3" x14ac:dyDescent="0.3">
      <c r="A14">
        <v>62</v>
      </c>
      <c r="B14" t="s">
        <v>51</v>
      </c>
      <c r="C14">
        <v>1970</v>
      </c>
    </row>
    <row r="15" spans="1:3" x14ac:dyDescent="0.3">
      <c r="A15">
        <v>63</v>
      </c>
      <c r="B15" t="s">
        <v>52</v>
      </c>
      <c r="C15">
        <v>1979</v>
      </c>
    </row>
    <row r="16" spans="1:3" x14ac:dyDescent="0.3">
      <c r="A16">
        <v>64</v>
      </c>
      <c r="B16" t="s">
        <v>53</v>
      </c>
      <c r="C16">
        <v>1974</v>
      </c>
    </row>
    <row r="17" spans="1:3" x14ac:dyDescent="0.3">
      <c r="A17">
        <v>65</v>
      </c>
      <c r="B17" t="s">
        <v>54</v>
      </c>
      <c r="C17">
        <v>1985</v>
      </c>
    </row>
    <row r="18" spans="1:3" x14ac:dyDescent="0.3">
      <c r="A18">
        <v>66</v>
      </c>
      <c r="B18" t="s">
        <v>55</v>
      </c>
      <c r="C18">
        <v>1986</v>
      </c>
    </row>
    <row r="19" spans="1:3" x14ac:dyDescent="0.3">
      <c r="A19">
        <v>67</v>
      </c>
      <c r="B19" t="s">
        <v>56</v>
      </c>
      <c r="C19">
        <v>1958</v>
      </c>
    </row>
    <row r="20" spans="1:3" x14ac:dyDescent="0.3">
      <c r="A20">
        <v>68</v>
      </c>
      <c r="B20" t="s">
        <v>57</v>
      </c>
      <c r="C20">
        <v>1937</v>
      </c>
    </row>
    <row r="21" spans="1:3" x14ac:dyDescent="0.3">
      <c r="A21">
        <v>69</v>
      </c>
      <c r="B21" t="s">
        <v>58</v>
      </c>
      <c r="C21">
        <v>1974</v>
      </c>
    </row>
    <row r="22" spans="1:3" x14ac:dyDescent="0.3">
      <c r="A22">
        <v>70</v>
      </c>
      <c r="B22" t="s">
        <v>59</v>
      </c>
      <c r="C22">
        <v>1959</v>
      </c>
    </row>
    <row r="23" spans="1:3" x14ac:dyDescent="0.3">
      <c r="A23">
        <v>71</v>
      </c>
      <c r="B23" t="s">
        <v>60</v>
      </c>
      <c r="C23">
        <v>1969</v>
      </c>
    </row>
    <row r="24" spans="1:3" x14ac:dyDescent="0.3">
      <c r="A24">
        <v>72</v>
      </c>
      <c r="B24" t="s">
        <v>61</v>
      </c>
      <c r="C24">
        <v>1982</v>
      </c>
    </row>
    <row r="25" spans="1:3" x14ac:dyDescent="0.3">
      <c r="A25">
        <v>73</v>
      </c>
      <c r="B25" t="s">
        <v>62</v>
      </c>
      <c r="C25">
        <v>1984</v>
      </c>
    </row>
    <row r="26" spans="1:3" x14ac:dyDescent="0.3">
      <c r="A26">
        <v>74</v>
      </c>
      <c r="B26" t="s">
        <v>63</v>
      </c>
      <c r="C26">
        <v>1986</v>
      </c>
    </row>
    <row r="27" spans="1:3" x14ac:dyDescent="0.3">
      <c r="A27">
        <v>75</v>
      </c>
      <c r="B27" t="s">
        <v>64</v>
      </c>
      <c r="C27">
        <v>1968</v>
      </c>
    </row>
    <row r="28" spans="1:3" x14ac:dyDescent="0.3">
      <c r="A28">
        <v>76</v>
      </c>
      <c r="B28" t="s">
        <v>65</v>
      </c>
      <c r="C28">
        <v>1972</v>
      </c>
    </row>
    <row r="29" spans="1:3" x14ac:dyDescent="0.3">
      <c r="A29">
        <v>77</v>
      </c>
      <c r="B29" t="s">
        <v>66</v>
      </c>
      <c r="C29">
        <v>1964</v>
      </c>
    </row>
    <row r="30" spans="1:3" x14ac:dyDescent="0.3">
      <c r="A30">
        <v>78</v>
      </c>
      <c r="B30" t="s">
        <v>67</v>
      </c>
      <c r="C30">
        <v>1974</v>
      </c>
    </row>
    <row r="31" spans="1:3" x14ac:dyDescent="0.3">
      <c r="A31">
        <v>79</v>
      </c>
      <c r="B31" t="s">
        <v>68</v>
      </c>
      <c r="C31">
        <v>1975</v>
      </c>
    </row>
    <row r="32" spans="1:3" x14ac:dyDescent="0.3">
      <c r="A32">
        <v>80</v>
      </c>
      <c r="B32" t="s">
        <v>69</v>
      </c>
      <c r="C32">
        <v>1908</v>
      </c>
    </row>
    <row r="33" spans="1:3" x14ac:dyDescent="0.3">
      <c r="A33">
        <v>81</v>
      </c>
      <c r="B33" t="s">
        <v>70</v>
      </c>
      <c r="C33">
        <v>1921</v>
      </c>
    </row>
    <row r="34" spans="1:3" x14ac:dyDescent="0.3">
      <c r="A34">
        <v>82</v>
      </c>
      <c r="B34" t="s">
        <v>71</v>
      </c>
      <c r="C34">
        <v>1976</v>
      </c>
    </row>
    <row r="35" spans="1:3" x14ac:dyDescent="0.3">
      <c r="A35">
        <v>83</v>
      </c>
      <c r="B35" t="s">
        <v>72</v>
      </c>
      <c r="C35">
        <v>1978</v>
      </c>
    </row>
    <row r="36" spans="1:3" x14ac:dyDescent="0.3">
      <c r="A36">
        <v>84</v>
      </c>
      <c r="B36" t="s">
        <v>73</v>
      </c>
      <c r="C36">
        <v>1924</v>
      </c>
    </row>
    <row r="37" spans="1:3" x14ac:dyDescent="0.3">
      <c r="A37">
        <v>85</v>
      </c>
      <c r="B37" t="s">
        <v>74</v>
      </c>
      <c r="C37">
        <v>1940</v>
      </c>
    </row>
    <row r="38" spans="1:3" x14ac:dyDescent="0.3">
      <c r="A38">
        <v>86</v>
      </c>
      <c r="B38" t="s">
        <v>75</v>
      </c>
      <c r="C38">
        <v>1974</v>
      </c>
    </row>
    <row r="39" spans="1:3" x14ac:dyDescent="0.3">
      <c r="A39">
        <v>87</v>
      </c>
      <c r="B39" t="s">
        <v>76</v>
      </c>
      <c r="C39">
        <v>1979</v>
      </c>
    </row>
    <row r="40" spans="1:3" x14ac:dyDescent="0.3">
      <c r="A40">
        <v>88</v>
      </c>
      <c r="B40" t="s">
        <v>77</v>
      </c>
      <c r="C40">
        <v>1952</v>
      </c>
    </row>
    <row r="41" spans="1:3" x14ac:dyDescent="0.3">
      <c r="A41">
        <v>89</v>
      </c>
      <c r="B41" t="s">
        <v>78</v>
      </c>
      <c r="C41">
        <v>1943</v>
      </c>
    </row>
    <row r="42" spans="1:3" x14ac:dyDescent="0.3">
      <c r="A42">
        <v>90</v>
      </c>
      <c r="B42" t="s">
        <v>79</v>
      </c>
      <c r="C42">
        <v>1947</v>
      </c>
    </row>
    <row r="43" spans="1:3" x14ac:dyDescent="0.3">
      <c r="A43">
        <v>91</v>
      </c>
      <c r="B43" t="s">
        <v>80</v>
      </c>
      <c r="C43">
        <v>1967</v>
      </c>
    </row>
    <row r="44" spans="1:3" x14ac:dyDescent="0.3">
      <c r="A44">
        <v>92</v>
      </c>
      <c r="B44" t="s">
        <v>81</v>
      </c>
      <c r="C44">
        <v>1967</v>
      </c>
    </row>
    <row r="45" spans="1:3" x14ac:dyDescent="0.3">
      <c r="A45">
        <v>93</v>
      </c>
      <c r="B45" t="s">
        <v>82</v>
      </c>
      <c r="C45">
        <v>1975</v>
      </c>
    </row>
    <row r="46" spans="1:3" x14ac:dyDescent="0.3">
      <c r="A46">
        <v>94</v>
      </c>
      <c r="B46" t="s">
        <v>83</v>
      </c>
      <c r="C46">
        <v>1965</v>
      </c>
    </row>
    <row r="47" spans="1:3" x14ac:dyDescent="0.3">
      <c r="A47">
        <v>95</v>
      </c>
      <c r="B47" t="s">
        <v>84</v>
      </c>
      <c r="C47">
        <v>1981</v>
      </c>
    </row>
    <row r="48" spans="1:3" x14ac:dyDescent="0.3">
      <c r="A48">
        <v>150</v>
      </c>
      <c r="B48" t="s">
        <v>85</v>
      </c>
      <c r="C48">
        <v>1905</v>
      </c>
    </row>
    <row r="49" spans="1:3" x14ac:dyDescent="0.3">
      <c r="A49">
        <v>151</v>
      </c>
      <c r="B49" t="s">
        <v>86</v>
      </c>
      <c r="C49">
        <v>1919</v>
      </c>
    </row>
    <row r="50" spans="1:3" x14ac:dyDescent="0.3">
      <c r="A50">
        <v>152</v>
      </c>
      <c r="B50" t="s">
        <v>87</v>
      </c>
      <c r="C50">
        <v>1997</v>
      </c>
    </row>
    <row r="51" spans="1:3" x14ac:dyDescent="0.3">
      <c r="A51">
        <v>153</v>
      </c>
      <c r="B51" t="s">
        <v>88</v>
      </c>
      <c r="C51">
        <v>1929</v>
      </c>
    </row>
    <row r="52" spans="1:3" x14ac:dyDescent="0.3">
      <c r="A52">
        <v>154</v>
      </c>
      <c r="B52" t="s">
        <v>89</v>
      </c>
      <c r="C52">
        <v>1988</v>
      </c>
    </row>
    <row r="53" spans="1:3" x14ac:dyDescent="0.3">
      <c r="A53">
        <v>155</v>
      </c>
      <c r="B53" t="s">
        <v>90</v>
      </c>
      <c r="C53">
        <v>1982</v>
      </c>
    </row>
    <row r="54" spans="1:3" x14ac:dyDescent="0.3">
      <c r="A54">
        <v>156</v>
      </c>
      <c r="B54" t="s">
        <v>91</v>
      </c>
      <c r="C54">
        <v>1982</v>
      </c>
    </row>
    <row r="55" spans="1:3" x14ac:dyDescent="0.3">
      <c r="A55">
        <v>157</v>
      </c>
      <c r="B55" t="s">
        <v>92</v>
      </c>
      <c r="C55">
        <v>1982</v>
      </c>
    </row>
    <row r="56" spans="1:3" x14ac:dyDescent="0.3">
      <c r="A56">
        <v>158</v>
      </c>
      <c r="B56" t="s">
        <v>93</v>
      </c>
      <c r="C56">
        <v>1983</v>
      </c>
    </row>
    <row r="57" spans="1:3" x14ac:dyDescent="0.3">
      <c r="A57">
        <v>159</v>
      </c>
      <c r="B57" t="s">
        <v>94</v>
      </c>
      <c r="C57">
        <v>1985</v>
      </c>
    </row>
    <row r="58" spans="1:3" x14ac:dyDescent="0.3">
      <c r="A58">
        <v>160</v>
      </c>
      <c r="B58" t="s">
        <v>95</v>
      </c>
      <c r="C58">
        <v>1979</v>
      </c>
    </row>
    <row r="59" spans="1:3" x14ac:dyDescent="0.3">
      <c r="A59">
        <v>161</v>
      </c>
      <c r="B59" t="s">
        <v>96</v>
      </c>
      <c r="C59">
        <v>1984</v>
      </c>
    </row>
    <row r="60" spans="1:3" x14ac:dyDescent="0.3">
      <c r="A60">
        <v>162</v>
      </c>
      <c r="B60" t="s">
        <v>97</v>
      </c>
      <c r="C60">
        <v>1950</v>
      </c>
    </row>
    <row r="61" spans="1:3" x14ac:dyDescent="0.3">
      <c r="A61">
        <v>163</v>
      </c>
      <c r="B61" t="s">
        <v>98</v>
      </c>
      <c r="C61">
        <v>1955</v>
      </c>
    </row>
    <row r="62" spans="1:3" x14ac:dyDescent="0.3">
      <c r="A62">
        <v>164</v>
      </c>
      <c r="B62" t="s">
        <v>99</v>
      </c>
      <c r="C62">
        <v>1965</v>
      </c>
    </row>
    <row r="63" spans="1:3" x14ac:dyDescent="0.3">
      <c r="A63">
        <v>165</v>
      </c>
      <c r="B63" t="s">
        <v>100</v>
      </c>
      <c r="C63">
        <v>1967</v>
      </c>
    </row>
    <row r="64" spans="1:3" x14ac:dyDescent="0.3">
      <c r="A64">
        <v>166</v>
      </c>
      <c r="B64" t="s">
        <v>101</v>
      </c>
      <c r="C64">
        <v>1946</v>
      </c>
    </row>
    <row r="65" spans="1:3" x14ac:dyDescent="0.3">
      <c r="A65">
        <v>167</v>
      </c>
      <c r="B65" t="s">
        <v>102</v>
      </c>
      <c r="C65">
        <v>1982</v>
      </c>
    </row>
    <row r="66" spans="1:3" x14ac:dyDescent="0.3">
      <c r="A66">
        <v>168</v>
      </c>
      <c r="B66" t="s">
        <v>103</v>
      </c>
      <c r="C66">
        <v>1956</v>
      </c>
    </row>
    <row r="67" spans="1:3" x14ac:dyDescent="0.3">
      <c r="A67">
        <v>169</v>
      </c>
      <c r="B67" t="s">
        <v>104</v>
      </c>
      <c r="C67">
        <v>1985</v>
      </c>
    </row>
    <row r="68" spans="1:3" x14ac:dyDescent="0.3">
      <c r="A68">
        <v>170</v>
      </c>
      <c r="B68" t="s">
        <v>105</v>
      </c>
      <c r="C68">
        <v>1991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2F180-645C-4BD4-BB22-B680DB6CAFAD}">
  <sheetPr codeName="Sheet7"/>
  <dimension ref="A1:B86"/>
  <sheetViews>
    <sheetView zoomScale="160" zoomScaleNormal="160" workbookViewId="0">
      <selection activeCell="D16" sqref="D16"/>
    </sheetView>
  </sheetViews>
  <sheetFormatPr defaultRowHeight="14.4" x14ac:dyDescent="0.3"/>
  <cols>
    <col min="1" max="1" width="9.88671875" customWidth="1"/>
  </cols>
  <sheetData>
    <row r="1" spans="1:2" x14ac:dyDescent="0.3">
      <c r="A1" s="2" t="s">
        <v>0</v>
      </c>
      <c r="B1" s="2" t="s">
        <v>36</v>
      </c>
    </row>
    <row r="2" spans="1:2" x14ac:dyDescent="0.3">
      <c r="A2">
        <v>101</v>
      </c>
      <c r="B2">
        <v>50</v>
      </c>
    </row>
    <row r="3" spans="1:2" x14ac:dyDescent="0.3">
      <c r="A3">
        <v>101</v>
      </c>
      <c r="B3">
        <v>51</v>
      </c>
    </row>
    <row r="4" spans="1:2" x14ac:dyDescent="0.3">
      <c r="A4">
        <v>102</v>
      </c>
      <c r="B4">
        <v>52</v>
      </c>
    </row>
    <row r="5" spans="1:2" x14ac:dyDescent="0.3">
      <c r="A5">
        <v>102</v>
      </c>
      <c r="B5">
        <v>53</v>
      </c>
    </row>
    <row r="6" spans="1:2" x14ac:dyDescent="0.3">
      <c r="A6">
        <v>103</v>
      </c>
      <c r="B6">
        <v>54</v>
      </c>
    </row>
    <row r="7" spans="1:2" x14ac:dyDescent="0.3">
      <c r="A7">
        <v>103</v>
      </c>
      <c r="B7">
        <v>55</v>
      </c>
    </row>
    <row r="8" spans="1:2" x14ac:dyDescent="0.3">
      <c r="A8">
        <v>103</v>
      </c>
      <c r="B8">
        <v>56</v>
      </c>
    </row>
    <row r="9" spans="1:2" x14ac:dyDescent="0.3">
      <c r="A9">
        <v>104</v>
      </c>
      <c r="B9">
        <v>54</v>
      </c>
    </row>
    <row r="10" spans="1:2" x14ac:dyDescent="0.3">
      <c r="A10">
        <v>104</v>
      </c>
      <c r="B10">
        <v>56</v>
      </c>
    </row>
    <row r="11" spans="1:2" x14ac:dyDescent="0.3">
      <c r="A11">
        <v>105</v>
      </c>
      <c r="B11">
        <v>54</v>
      </c>
    </row>
    <row r="12" spans="1:2" x14ac:dyDescent="0.3">
      <c r="A12">
        <v>105</v>
      </c>
      <c r="B12">
        <v>55</v>
      </c>
    </row>
    <row r="13" spans="1:2" x14ac:dyDescent="0.3">
      <c r="A13">
        <v>106</v>
      </c>
      <c r="B13">
        <v>57</v>
      </c>
    </row>
    <row r="14" spans="1:2" x14ac:dyDescent="0.3">
      <c r="A14">
        <v>106</v>
      </c>
      <c r="B14">
        <v>58</v>
      </c>
    </row>
    <row r="15" spans="1:2" x14ac:dyDescent="0.3">
      <c r="A15">
        <v>107</v>
      </c>
      <c r="B15">
        <v>59</v>
      </c>
    </row>
    <row r="16" spans="1:2" x14ac:dyDescent="0.3">
      <c r="A16">
        <v>107</v>
      </c>
      <c r="B16">
        <v>60</v>
      </c>
    </row>
    <row r="17" spans="1:2" x14ac:dyDescent="0.3">
      <c r="A17">
        <v>108</v>
      </c>
      <c r="B17">
        <v>61</v>
      </c>
    </row>
    <row r="18" spans="1:2" x14ac:dyDescent="0.3">
      <c r="A18">
        <v>108</v>
      </c>
      <c r="B18">
        <v>62</v>
      </c>
    </row>
    <row r="19" spans="1:2" x14ac:dyDescent="0.3">
      <c r="A19">
        <v>108</v>
      </c>
      <c r="B19">
        <v>63</v>
      </c>
    </row>
    <row r="20" spans="1:2" x14ac:dyDescent="0.3">
      <c r="A20">
        <v>109</v>
      </c>
      <c r="B20">
        <v>59</v>
      </c>
    </row>
    <row r="21" spans="1:2" x14ac:dyDescent="0.3">
      <c r="A21">
        <v>109</v>
      </c>
      <c r="B21">
        <v>57</v>
      </c>
    </row>
    <row r="22" spans="1:2" x14ac:dyDescent="0.3">
      <c r="A22">
        <v>109</v>
      </c>
      <c r="B22">
        <v>64</v>
      </c>
    </row>
    <row r="23" spans="1:2" x14ac:dyDescent="0.3">
      <c r="A23">
        <v>110</v>
      </c>
      <c r="B23">
        <v>65</v>
      </c>
    </row>
    <row r="24" spans="1:2" x14ac:dyDescent="0.3">
      <c r="A24">
        <v>110</v>
      </c>
      <c r="B24">
        <v>66</v>
      </c>
    </row>
    <row r="25" spans="1:2" x14ac:dyDescent="0.3">
      <c r="A25">
        <v>111</v>
      </c>
      <c r="B25">
        <v>67</v>
      </c>
    </row>
    <row r="26" spans="1:2" x14ac:dyDescent="0.3">
      <c r="A26">
        <v>111</v>
      </c>
      <c r="B26">
        <v>68</v>
      </c>
    </row>
    <row r="27" spans="1:2" x14ac:dyDescent="0.3">
      <c r="A27">
        <v>112</v>
      </c>
      <c r="B27">
        <v>69</v>
      </c>
    </row>
    <row r="28" spans="1:2" x14ac:dyDescent="0.3">
      <c r="A28">
        <v>112</v>
      </c>
      <c r="B28">
        <v>70</v>
      </c>
    </row>
    <row r="29" spans="1:2" x14ac:dyDescent="0.3">
      <c r="A29">
        <v>113</v>
      </c>
      <c r="B29">
        <v>71</v>
      </c>
    </row>
    <row r="30" spans="1:2" x14ac:dyDescent="0.3">
      <c r="A30">
        <v>113</v>
      </c>
      <c r="B30">
        <v>72</v>
      </c>
    </row>
    <row r="31" spans="1:2" x14ac:dyDescent="0.3">
      <c r="A31">
        <v>114</v>
      </c>
      <c r="B31">
        <v>73</v>
      </c>
    </row>
    <row r="32" spans="1:2" x14ac:dyDescent="0.3">
      <c r="A32">
        <v>114</v>
      </c>
      <c r="B32">
        <v>74</v>
      </c>
    </row>
    <row r="33" spans="1:2" x14ac:dyDescent="0.3">
      <c r="A33">
        <v>115</v>
      </c>
      <c r="B33">
        <v>75</v>
      </c>
    </row>
    <row r="34" spans="1:2" x14ac:dyDescent="0.3">
      <c r="A34">
        <v>115</v>
      </c>
      <c r="B34">
        <v>76</v>
      </c>
    </row>
    <row r="35" spans="1:2" x14ac:dyDescent="0.3">
      <c r="A35">
        <v>116</v>
      </c>
      <c r="B35">
        <v>77</v>
      </c>
    </row>
    <row r="36" spans="1:2" x14ac:dyDescent="0.3">
      <c r="A36">
        <v>116</v>
      </c>
      <c r="B36">
        <v>78</v>
      </c>
    </row>
    <row r="37" spans="1:2" x14ac:dyDescent="0.3">
      <c r="A37">
        <v>117</v>
      </c>
      <c r="B37">
        <v>69</v>
      </c>
    </row>
    <row r="38" spans="1:2" x14ac:dyDescent="0.3">
      <c r="A38">
        <v>117</v>
      </c>
      <c r="B38">
        <v>79</v>
      </c>
    </row>
    <row r="39" spans="1:2" x14ac:dyDescent="0.3">
      <c r="A39">
        <v>118</v>
      </c>
      <c r="B39">
        <v>80</v>
      </c>
    </row>
    <row r="40" spans="1:2" x14ac:dyDescent="0.3">
      <c r="A40">
        <v>118</v>
      </c>
      <c r="B40">
        <v>81</v>
      </c>
    </row>
    <row r="41" spans="1:2" x14ac:dyDescent="0.3">
      <c r="A41">
        <v>119</v>
      </c>
      <c r="B41">
        <v>82</v>
      </c>
    </row>
    <row r="42" spans="1:2" x14ac:dyDescent="0.3">
      <c r="A42">
        <v>119</v>
      </c>
      <c r="B42">
        <v>83</v>
      </c>
    </row>
    <row r="43" spans="1:2" x14ac:dyDescent="0.3">
      <c r="A43">
        <v>120</v>
      </c>
      <c r="B43">
        <v>84</v>
      </c>
    </row>
    <row r="44" spans="1:2" x14ac:dyDescent="0.3">
      <c r="A44">
        <v>120</v>
      </c>
      <c r="B44">
        <v>85</v>
      </c>
    </row>
    <row r="45" spans="1:2" x14ac:dyDescent="0.3">
      <c r="A45">
        <v>121</v>
      </c>
      <c r="B45">
        <v>86</v>
      </c>
    </row>
    <row r="46" spans="1:2" x14ac:dyDescent="0.3">
      <c r="A46">
        <v>121</v>
      </c>
      <c r="B46">
        <v>87</v>
      </c>
    </row>
    <row r="47" spans="1:2" x14ac:dyDescent="0.3">
      <c r="A47">
        <v>122</v>
      </c>
      <c r="B47">
        <v>88</v>
      </c>
    </row>
    <row r="48" spans="1:2" x14ac:dyDescent="0.3">
      <c r="A48">
        <v>122</v>
      </c>
      <c r="B48">
        <v>89</v>
      </c>
    </row>
    <row r="49" spans="1:2" x14ac:dyDescent="0.3">
      <c r="A49">
        <v>123</v>
      </c>
      <c r="B49">
        <v>90</v>
      </c>
    </row>
    <row r="50" spans="1:2" x14ac:dyDescent="0.3">
      <c r="A50">
        <v>123</v>
      </c>
      <c r="B50">
        <v>91</v>
      </c>
    </row>
    <row r="51" spans="1:2" x14ac:dyDescent="0.3">
      <c r="A51">
        <v>124</v>
      </c>
      <c r="B51">
        <v>92</v>
      </c>
    </row>
    <row r="52" spans="1:2" x14ac:dyDescent="0.3">
      <c r="A52">
        <v>124</v>
      </c>
      <c r="B52">
        <v>93</v>
      </c>
    </row>
    <row r="53" spans="1:2" x14ac:dyDescent="0.3">
      <c r="A53">
        <v>125</v>
      </c>
      <c r="B53">
        <v>94</v>
      </c>
    </row>
    <row r="54" spans="1:2" x14ac:dyDescent="0.3">
      <c r="A54">
        <v>125</v>
      </c>
      <c r="B54">
        <v>95</v>
      </c>
    </row>
    <row r="55" spans="1:2" x14ac:dyDescent="0.3">
      <c r="A55">
        <v>125</v>
      </c>
      <c r="B55">
        <v>54</v>
      </c>
    </row>
    <row r="56" spans="1:2" x14ac:dyDescent="0.3">
      <c r="A56">
        <v>126</v>
      </c>
      <c r="B56">
        <v>94</v>
      </c>
    </row>
    <row r="57" spans="1:2" x14ac:dyDescent="0.3">
      <c r="A57">
        <v>126</v>
      </c>
      <c r="B57">
        <v>95</v>
      </c>
    </row>
    <row r="58" spans="1:2" x14ac:dyDescent="0.3">
      <c r="A58">
        <v>126</v>
      </c>
      <c r="B58">
        <v>54</v>
      </c>
    </row>
    <row r="59" spans="1:2" x14ac:dyDescent="0.3">
      <c r="A59">
        <v>127</v>
      </c>
      <c r="B59">
        <v>150</v>
      </c>
    </row>
    <row r="60" spans="1:2" x14ac:dyDescent="0.3">
      <c r="A60">
        <v>127</v>
      </c>
      <c r="B60">
        <v>151</v>
      </c>
    </row>
    <row r="61" spans="1:2" x14ac:dyDescent="0.3">
      <c r="A61">
        <v>128</v>
      </c>
      <c r="B61">
        <v>61</v>
      </c>
    </row>
    <row r="62" spans="1:2" x14ac:dyDescent="0.3">
      <c r="A62">
        <v>128</v>
      </c>
      <c r="B62">
        <v>152</v>
      </c>
    </row>
    <row r="63" spans="1:2" x14ac:dyDescent="0.3">
      <c r="A63">
        <v>129</v>
      </c>
      <c r="B63">
        <v>51</v>
      </c>
    </row>
    <row r="64" spans="1:2" x14ac:dyDescent="0.3">
      <c r="A64">
        <v>129</v>
      </c>
      <c r="B64">
        <v>153</v>
      </c>
    </row>
    <row r="65" spans="1:2" x14ac:dyDescent="0.3">
      <c r="A65">
        <v>130</v>
      </c>
      <c r="B65">
        <v>61</v>
      </c>
    </row>
    <row r="66" spans="1:2" x14ac:dyDescent="0.3">
      <c r="A66">
        <v>130</v>
      </c>
      <c r="B66">
        <v>154</v>
      </c>
    </row>
    <row r="67" spans="1:2" x14ac:dyDescent="0.3">
      <c r="A67">
        <v>131</v>
      </c>
      <c r="B67">
        <v>155</v>
      </c>
    </row>
    <row r="68" spans="1:2" x14ac:dyDescent="0.3">
      <c r="A68">
        <v>131</v>
      </c>
      <c r="B68">
        <v>154</v>
      </c>
    </row>
    <row r="69" spans="1:2" x14ac:dyDescent="0.3">
      <c r="A69">
        <v>132</v>
      </c>
      <c r="B69">
        <v>156</v>
      </c>
    </row>
    <row r="70" spans="1:2" x14ac:dyDescent="0.3">
      <c r="A70">
        <v>132</v>
      </c>
      <c r="B70">
        <v>157</v>
      </c>
    </row>
    <row r="71" spans="1:2" x14ac:dyDescent="0.3">
      <c r="A71">
        <v>133</v>
      </c>
      <c r="B71">
        <v>158</v>
      </c>
    </row>
    <row r="72" spans="1:2" x14ac:dyDescent="0.3">
      <c r="A72">
        <v>133</v>
      </c>
      <c r="B72">
        <v>159</v>
      </c>
    </row>
    <row r="73" spans="1:2" x14ac:dyDescent="0.3">
      <c r="A73">
        <v>134</v>
      </c>
      <c r="B73">
        <v>160</v>
      </c>
    </row>
    <row r="74" spans="1:2" x14ac:dyDescent="0.3">
      <c r="A74">
        <v>134</v>
      </c>
      <c r="B74">
        <v>161</v>
      </c>
    </row>
    <row r="75" spans="1:2" x14ac:dyDescent="0.3">
      <c r="A75">
        <v>135</v>
      </c>
      <c r="B75">
        <v>162</v>
      </c>
    </row>
    <row r="76" spans="1:2" x14ac:dyDescent="0.3">
      <c r="A76">
        <v>135</v>
      </c>
      <c r="B76">
        <v>163</v>
      </c>
    </row>
    <row r="77" spans="1:2" x14ac:dyDescent="0.3">
      <c r="A77">
        <v>136</v>
      </c>
      <c r="B77">
        <v>164</v>
      </c>
    </row>
    <row r="78" spans="1:2" x14ac:dyDescent="0.3">
      <c r="A78">
        <v>136</v>
      </c>
      <c r="B78">
        <v>165</v>
      </c>
    </row>
    <row r="79" spans="1:2" x14ac:dyDescent="0.3">
      <c r="A79">
        <v>137</v>
      </c>
      <c r="B79">
        <v>95</v>
      </c>
    </row>
    <row r="80" spans="1:2" x14ac:dyDescent="0.3">
      <c r="A80">
        <v>137</v>
      </c>
      <c r="B80">
        <v>166</v>
      </c>
    </row>
    <row r="81" spans="1:2" x14ac:dyDescent="0.3">
      <c r="A81">
        <v>138</v>
      </c>
      <c r="B81">
        <v>95</v>
      </c>
    </row>
    <row r="82" spans="1:2" x14ac:dyDescent="0.3">
      <c r="A82">
        <v>138</v>
      </c>
      <c r="B82">
        <v>167</v>
      </c>
    </row>
    <row r="83" spans="1:2" x14ac:dyDescent="0.3">
      <c r="A83">
        <v>139</v>
      </c>
      <c r="B83">
        <v>164</v>
      </c>
    </row>
    <row r="84" spans="1:2" x14ac:dyDescent="0.3">
      <c r="A84">
        <v>139</v>
      </c>
      <c r="B84">
        <v>168</v>
      </c>
    </row>
    <row r="85" spans="1:2" x14ac:dyDescent="0.3">
      <c r="A85">
        <v>140</v>
      </c>
      <c r="B85">
        <v>169</v>
      </c>
    </row>
    <row r="86" spans="1:2" x14ac:dyDescent="0.3">
      <c r="A86">
        <v>140</v>
      </c>
      <c r="B86">
        <v>170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2F15D-C7E5-45CD-9337-3706D6E911A4}">
  <sheetPr codeName="Sheet8"/>
  <dimension ref="A1:B9"/>
  <sheetViews>
    <sheetView zoomScale="160" zoomScaleNormal="160" workbookViewId="0">
      <selection activeCell="A4" sqref="A4"/>
    </sheetView>
  </sheetViews>
  <sheetFormatPr defaultRowHeight="14.4" x14ac:dyDescent="0.3"/>
  <cols>
    <col min="1" max="1" width="12.44140625" customWidth="1"/>
  </cols>
  <sheetData>
    <row r="1" spans="1:2" x14ac:dyDescent="0.3">
      <c r="A1" s="2" t="s">
        <v>5</v>
      </c>
      <c r="B1" s="2" t="s">
        <v>37</v>
      </c>
    </row>
    <row r="2" spans="1:2" x14ac:dyDescent="0.3">
      <c r="A2">
        <v>1</v>
      </c>
      <c r="B2" t="s">
        <v>106</v>
      </c>
    </row>
    <row r="3" spans="1:2" x14ac:dyDescent="0.3">
      <c r="A3">
        <v>2</v>
      </c>
      <c r="B3" t="s">
        <v>107</v>
      </c>
    </row>
    <row r="4" spans="1:2" x14ac:dyDescent="0.3">
      <c r="A4">
        <v>3</v>
      </c>
      <c r="B4" t="s">
        <v>108</v>
      </c>
    </row>
    <row r="5" spans="1:2" x14ac:dyDescent="0.3">
      <c r="A5">
        <v>4</v>
      </c>
      <c r="B5" t="s">
        <v>109</v>
      </c>
    </row>
    <row r="6" spans="1:2" x14ac:dyDescent="0.3">
      <c r="A6">
        <v>5</v>
      </c>
      <c r="B6" t="s">
        <v>110</v>
      </c>
    </row>
    <row r="7" spans="1:2" x14ac:dyDescent="0.3">
      <c r="A7">
        <v>6</v>
      </c>
      <c r="B7" t="s">
        <v>111</v>
      </c>
    </row>
    <row r="8" spans="1:2" x14ac:dyDescent="0.3">
      <c r="A8">
        <v>7</v>
      </c>
      <c r="B8" t="s">
        <v>112</v>
      </c>
    </row>
    <row r="9" spans="1:2" x14ac:dyDescent="0.3">
      <c r="A9">
        <v>8</v>
      </c>
      <c r="B9" t="s">
        <v>113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AA8D3-E436-4173-A66F-16E3540AA50D}">
  <sheetPr codeName="Sheet9"/>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xml version="1.0" encoding="utf-8"?>
<ct:contentTypeSchema xmlns:ct="http://schemas.microsoft.com/office/2006/metadata/contentType" xmlns:ma="http://schemas.microsoft.com/office/2006/metadata/properties/metaAttributes" ct:_="" ma:_="" ma:contentTypeName="Document" ma:contentTypeID="0x010100686C0266E115364AA9B96DE5BECF7DB6" ma:contentTypeVersion="14" ma:contentTypeDescription="Create a new document." ma:contentTypeScope="" ma:versionID="c921848065db5a49d1de2391ec81580e">
  <xsd:schema xmlns:xsd="http://www.w3.org/2001/XMLSchema" xmlns:xs="http://www.w3.org/2001/XMLSchema" xmlns:p="http://schemas.microsoft.com/office/2006/metadata/properties" xmlns:ns2="631564f6-0349-4cc5-b00d-7cf3ba42f824" xmlns:ns3="46297aa2-77d1-4586-9726-07d56a535ee7" targetNamespace="http://schemas.microsoft.com/office/2006/metadata/properties" ma:root="true" ma:fieldsID="ff9dd1b7eff9d7fccc1b7fb333026bb0" ns2:_="" ns3:_="">
    <xsd:import namespace="631564f6-0349-4cc5-b00d-7cf3ba42f824"/>
    <xsd:import namespace="46297aa2-77d1-4586-9726-07d56a535ee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Locatio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1564f6-0349-4cc5-b00d-7cf3ba42f8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Location" ma:index="12" nillable="true" ma:displayName="Location" ma:indexed="true"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afd9a293-139f-4208-837f-2845fada897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6297aa2-77d1-4586-9726-07d56a535ee7"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83f7f984-84d1-4adc-8904-137f404b280a}" ma:internalName="TaxCatchAll" ma:showField="CatchAllData" ma:web="46297aa2-77d1-4586-9726-07d56a535ee7">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xml version="1.0" encoding="utf-8"?>
<p:properties xmlns:p="http://schemas.microsoft.com/office/2006/metadata/properties" xmlns:xsi="http://www.w3.org/2001/XMLSchema-instance" xmlns:pc="http://schemas.microsoft.com/office/infopath/2007/PartnerControls">
  <documentManagement>
    <TaxCatchAll xmlns="46297aa2-77d1-4586-9726-07d56a535ee7" xsi:nil="true"/>
    <lcf76f155ced4ddcb4097134ff3c332f xmlns="631564f6-0349-4cc5-b00d-7cf3ba42f824">
      <Terms xmlns="http://schemas.microsoft.com/office/infopath/2007/PartnerControls"/>
    </lcf76f155ced4ddcb4097134ff3c332f>
    <MediaLengthInSeconds xmlns="631564f6-0349-4cc5-b00d-7cf3ba42f824" xsi:nil="true"/>
    <SharedWithUsers xmlns="46297aa2-77d1-4586-9726-07d56a535ee7">
      <UserInfo>
        <DisplayName/>
        <AccountId xsi:nil="true"/>
        <AccountType/>
      </UserInfo>
    </SharedWithUsers>
  </documentManagement>
</p:properties>
</file>

<file path=customXml/item28.xml>�� 
</file>

<file path=customXml/item29.xml>�� 
</file>

<file path=customXml/item30.xml>�� 
</file>

<file path=customXml/item31.xml>�� 
</file>

<file path=customXml/item32.xml>�� 
</file>

<file path=customXml/item33.xml>�� 
</file>

<file path=customXml/item34.xml><?xml version="1.0" encoding="utf-8"?>
<?mso-contentType ?>
<FormTemplates xmlns="http://schemas.microsoft.com/sharepoint/v3/contenttype/forms">
  <Display>DocumentLibraryForm</Display>
  <Edit>DocumentLibraryForm</Edit>
  <New>DocumentLibraryForm</New>
</FormTemplates>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FBF85984-AEED-4DF2-9DB0-8A986D4AEA9A}">
  <ds:schemaRefs/>
</ds:datastoreItem>
</file>

<file path=customXml/itemProps2.xml><?xml version="1.0" encoding="utf-8"?>
<ds:datastoreItem xmlns:ds="http://schemas.openxmlformats.org/officeDocument/2006/customXml" ds:itemID="{813B5EB7-54A5-4B18-96BE-A54DEE4C6492}">
  <ds:schemaRefs/>
</ds:datastoreItem>
</file>

<file path=customXml/itemProps3.xml><?xml version="1.0" encoding="utf-8"?>
<ds:datastoreItem xmlns:ds="http://schemas.openxmlformats.org/officeDocument/2006/customXml" ds:itemID="{72038A2E-A17C-4C3D-A2EF-080B5D104A9E}">
  <ds:schemaRefs/>
</ds:datastoreItem>
</file>

<file path=customXml/itemProps4.xml><?xml version="1.0" encoding="utf-8"?>
<ds:datastoreItem xmlns:ds="http://schemas.openxmlformats.org/officeDocument/2006/customXml" ds:itemID="{9B427C06-B1ED-4601-884A-8312966C3900}">
  <ds:schemaRefs/>
</ds:datastoreItem>
</file>

<file path=customXml/itemProps5.xml><?xml version="1.0" encoding="utf-8"?>
<ds:datastoreItem xmlns:ds="http://schemas.openxmlformats.org/officeDocument/2006/customXml" ds:itemID="{D0144AC2-291F-438B-9D79-331CB104C368}">
  <ds:schemaRefs/>
</ds:datastoreItem>
</file>

<file path=customXml/itemProps6.xml><?xml version="1.0" encoding="utf-8"?>
<ds:datastoreItem xmlns:ds="http://schemas.openxmlformats.org/officeDocument/2006/customXml" ds:itemID="{E7950DF8-BCCF-4F64-A821-483048E1EB84}">
  <ds:schemaRefs/>
</ds:datastoreItem>
</file>

<file path=customXml/itemProps7.xml><?xml version="1.0" encoding="utf-8"?>
<ds:datastoreItem xmlns:ds="http://schemas.openxmlformats.org/officeDocument/2006/customXml" ds:itemID="{A29F9E95-70BB-4974-A6C4-D89EB4DD41D5}">
  <ds:schemaRefs/>
</ds:datastoreItem>
</file>

<file path=customXml/itemProps8.xml><?xml version="1.0" encoding="utf-8"?>
<ds:datastoreItem xmlns:ds="http://schemas.openxmlformats.org/officeDocument/2006/customXml" ds:itemID="{7DC56D26-44B8-4FD8-9662-02F2416CFAB9}">
  <ds:schemaRefs/>
</ds:datastoreItem>
</file>

<file path=customXml/itemProps9.xml><?xml version="1.0" encoding="utf-8"?>
<ds:datastoreItem xmlns:ds="http://schemas.openxmlformats.org/officeDocument/2006/customXml" ds:itemID="{05BD6D37-1203-4827-B844-0B1A464D2165}">
  <ds:schemaRefs/>
</ds:datastoreItem>
</file>

<file path=customXml/itemProps10.xml><?xml version="1.0" encoding="utf-8"?>
<ds:datastoreItem xmlns:ds="http://schemas.openxmlformats.org/officeDocument/2006/customXml" ds:itemID="{11E1D987-5EA0-4F0E-8194-5B1A04719734}">
  <ds:schemaRefs/>
</ds:datastoreItem>
</file>

<file path=customXml/itemProps11.xml><?xml version="1.0" encoding="utf-8"?>
<ds:datastoreItem xmlns:ds="http://schemas.openxmlformats.org/officeDocument/2006/customXml" ds:itemID="{3EA241BF-3215-47A6-B228-5916E29CEE42}">
  <ds:schemaRefs/>
</ds:datastoreItem>
</file>

<file path=customXml/itemProps12.xml><?xml version="1.0" encoding="utf-8"?>
<ds:datastoreItem xmlns:ds="http://schemas.openxmlformats.org/officeDocument/2006/customXml" ds:itemID="{B7FAF143-6067-4668-A52F-ECD6BD69E8E1}">
  <ds:schemaRefs/>
</ds:datastoreItem>
</file>

<file path=customXml/itemProps13.xml><?xml version="1.0" encoding="utf-8"?>
<ds:datastoreItem xmlns:ds="http://schemas.openxmlformats.org/officeDocument/2006/customXml" ds:itemID="{E2582064-A8FD-4D86-97EE-AAE8423A9786}">
  <ds:schemaRefs/>
</ds:datastoreItem>
</file>

<file path=customXml/itemProps14.xml><?xml version="1.0" encoding="utf-8"?>
<ds:datastoreItem xmlns:ds="http://schemas.openxmlformats.org/officeDocument/2006/customXml" ds:itemID="{01CA7B40-08FF-40B4-9F85-C39355998EF9}">
  <ds:schemaRefs/>
</ds:datastoreItem>
</file>

<file path=customXml/itemProps15.xml><?xml version="1.0" encoding="utf-8"?>
<ds:datastoreItem xmlns:ds="http://schemas.openxmlformats.org/officeDocument/2006/customXml" ds:itemID="{C3AFA52C-194A-41DD-A935-ECB8B05FDB71}">
  <ds:schemaRefs/>
</ds:datastoreItem>
</file>

<file path=customXml/itemProps16.xml><?xml version="1.0" encoding="utf-8"?>
<ds:datastoreItem xmlns:ds="http://schemas.openxmlformats.org/officeDocument/2006/customXml" ds:itemID="{57EE7AD4-275E-4926-8567-7F83FCF75CD2}">
  <ds:schemaRefs/>
</ds:datastoreItem>
</file>

<file path=customXml/itemProps17.xml><?xml version="1.0" encoding="utf-8"?>
<ds:datastoreItem xmlns:ds="http://schemas.openxmlformats.org/officeDocument/2006/customXml" ds:itemID="{02BA008F-2FD2-4901-8027-A024DA31C6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31564f6-0349-4cc5-b00d-7cf3ba42f824"/>
    <ds:schemaRef ds:uri="46297aa2-77d1-4586-9726-07d56a535e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8.xml><?xml version="1.0" encoding="utf-8"?>
<ds:datastoreItem xmlns:ds="http://schemas.openxmlformats.org/officeDocument/2006/customXml" ds:itemID="{164C7D33-46F8-4A95-8A8D-5944CD01F753}">
  <ds:schemaRefs/>
</ds:datastoreItem>
</file>

<file path=customXml/itemProps19.xml><?xml version="1.0" encoding="utf-8"?>
<ds:datastoreItem xmlns:ds="http://schemas.openxmlformats.org/officeDocument/2006/customXml" ds:itemID="{437F41A6-4199-418F-8411-AF7195877DBC}">
  <ds:schemaRefs/>
</ds:datastoreItem>
</file>

<file path=customXml/itemProps20.xml><?xml version="1.0" encoding="utf-8"?>
<ds:datastoreItem xmlns:ds="http://schemas.openxmlformats.org/officeDocument/2006/customXml" ds:itemID="{8B04C829-CB3E-424E-95CD-45A896C6C193}">
  <ds:schemaRefs/>
</ds:datastoreItem>
</file>

<file path=customXml/itemProps21.xml><?xml version="1.0" encoding="utf-8"?>
<ds:datastoreItem xmlns:ds="http://schemas.openxmlformats.org/officeDocument/2006/customXml" ds:itemID="{390E0BFF-ABA0-40AC-99DD-40AEB1F3997D}">
  <ds:schemaRefs/>
</ds:datastoreItem>
</file>

<file path=customXml/itemProps22.xml><?xml version="1.0" encoding="utf-8"?>
<ds:datastoreItem xmlns:ds="http://schemas.openxmlformats.org/officeDocument/2006/customXml" ds:itemID="{737E90D7-0BEC-4DF0-9131-B53B0DEDF622}">
  <ds:schemaRefs/>
</ds:datastoreItem>
</file>

<file path=customXml/itemProps23.xml><?xml version="1.0" encoding="utf-8"?>
<ds:datastoreItem xmlns:ds="http://schemas.openxmlformats.org/officeDocument/2006/customXml" ds:itemID="{69375945-5781-455A-981D-23A381051ED6}">
  <ds:schemaRefs/>
</ds:datastoreItem>
</file>

<file path=customXml/itemProps24.xml><?xml version="1.0" encoding="utf-8"?>
<ds:datastoreItem xmlns:ds="http://schemas.openxmlformats.org/officeDocument/2006/customXml" ds:itemID="{9E2BB021-9C28-4455-8411-B4E56DE7C9FC}">
  <ds:schemaRefs/>
</ds:datastoreItem>
</file>

<file path=customXml/itemProps25.xml><?xml version="1.0" encoding="utf-8"?>
<ds:datastoreItem xmlns:ds="http://schemas.openxmlformats.org/officeDocument/2006/customXml" ds:itemID="{523FBD68-D734-4AD3-8150-8F29E7492E09}">
  <ds:schemaRefs/>
</ds:datastoreItem>
</file>

<file path=customXml/itemProps26.xml><?xml version="1.0" encoding="utf-8"?>
<ds:datastoreItem xmlns:ds="http://schemas.openxmlformats.org/officeDocument/2006/customXml" ds:itemID="{C9FDE326-C309-4D19-A729-41869878D148}">
  <ds:schemaRefs/>
</ds:datastoreItem>
</file>

<file path=customXml/itemProps27.xml><?xml version="1.0" encoding="utf-8"?>
<ds:datastoreItem xmlns:ds="http://schemas.openxmlformats.org/officeDocument/2006/customXml" ds:itemID="{EEFF9027-FBEF-4910-8EE6-13D64012C7E9}">
  <ds:schemaRefs>
    <ds:schemaRef ds:uri="http://schemas.microsoft.com/office/2006/metadata/properties"/>
    <ds:schemaRef ds:uri="http://schemas.microsoft.com/office/infopath/2007/PartnerControls"/>
    <ds:schemaRef ds:uri="46297aa2-77d1-4586-9726-07d56a535ee7"/>
    <ds:schemaRef ds:uri="631564f6-0349-4cc5-b00d-7cf3ba42f824"/>
  </ds:schemaRefs>
</ds:datastoreItem>
</file>

<file path=customXml/itemProps28.xml><?xml version="1.0" encoding="utf-8"?>
<ds:datastoreItem xmlns:ds="http://schemas.openxmlformats.org/officeDocument/2006/customXml" ds:itemID="{C0C7D660-1E0F-4D43-AE3B-0673AC6406D0}">
  <ds:schemaRefs/>
</ds:datastoreItem>
</file>

<file path=customXml/itemProps29.xml><?xml version="1.0" encoding="utf-8"?>
<ds:datastoreItem xmlns:ds="http://schemas.openxmlformats.org/officeDocument/2006/customXml" ds:itemID="{FABFF29C-8F97-4D14-BA0B-B920F2596093}">
  <ds:schemaRefs/>
</ds:datastoreItem>
</file>

<file path=customXml/itemProps30.xml><?xml version="1.0" encoding="utf-8"?>
<ds:datastoreItem xmlns:ds="http://schemas.openxmlformats.org/officeDocument/2006/customXml" ds:itemID="{174CC356-3BFC-4E31-983E-36D1D72A29F9}">
  <ds:schemaRefs/>
</ds:datastoreItem>
</file>

<file path=customXml/itemProps31.xml><?xml version="1.0" encoding="utf-8"?>
<ds:datastoreItem xmlns:ds="http://schemas.openxmlformats.org/officeDocument/2006/customXml" ds:itemID="{336024B2-C55C-47CC-986C-6822945798D3}">
  <ds:schemaRefs/>
</ds:datastoreItem>
</file>

<file path=customXml/itemProps32.xml><?xml version="1.0" encoding="utf-8"?>
<ds:datastoreItem xmlns:ds="http://schemas.openxmlformats.org/officeDocument/2006/customXml" ds:itemID="{4CF67C5A-97FF-4B5C-A89A-DCFC3E5E9D10}">
  <ds:schemaRefs/>
</ds:datastoreItem>
</file>

<file path=customXml/itemProps33.xml><?xml version="1.0" encoding="utf-8"?>
<ds:datastoreItem xmlns:ds="http://schemas.openxmlformats.org/officeDocument/2006/customXml" ds:itemID="{D81B99BB-5CAA-4AD6-B94B-469FA140A61B}">
  <ds:schemaRefs/>
</ds:datastoreItem>
</file>

<file path=customXml/itemProps34.xml><?xml version="1.0" encoding="utf-8"?>
<ds:datastoreItem xmlns:ds="http://schemas.openxmlformats.org/officeDocument/2006/customXml" ds:itemID="{E6C97D6F-A515-40FC-959A-7BC863F10CEF}">
  <ds:schemaRefs>
    <ds:schemaRef ds:uri="http://schemas.microsoft.com/sharepoint/v3/contenttype/forms"/>
  </ds:schemaRefs>
</ds:datastoreItem>
</file>

<file path=customXml/itemProps35.xml><?xml version="1.0" encoding="utf-8"?>
<ds:datastoreItem xmlns:ds="http://schemas.openxmlformats.org/officeDocument/2006/customXml" ds:itemID="{FD077303-8FFA-4311-8E0E-B98FE40AE940}">
  <ds:schemaRefs/>
</ds:datastoreItem>
</file>

<file path=customXml/itemProps36.xml><?xml version="1.0" encoding="utf-8"?>
<ds:datastoreItem xmlns:ds="http://schemas.openxmlformats.org/officeDocument/2006/customXml" ds:itemID="{28F6953E-B929-457B-A783-922BD62230CF}">
  <ds:schemaRefs/>
</ds:datastoreItem>
</file>

<file path=customXml/itemProps37.xml><?xml version="1.0" encoding="utf-8"?>
<ds:datastoreItem xmlns:ds="http://schemas.openxmlformats.org/officeDocument/2006/customXml" ds:itemID="{95E2D6D6-71D3-492F-A88F-5470BA1A9BB2}">
  <ds:schemaRefs/>
</ds:datastoreItem>
</file>

<file path=customXml/itemProps38.xml><?xml version="1.0" encoding="utf-8"?>
<ds:datastoreItem xmlns:ds="http://schemas.openxmlformats.org/officeDocument/2006/customXml" ds:itemID="{D12C8FDA-2B3A-429F-8359-9FD836460565}">
  <ds:schemaRefs/>
</ds:datastoreItem>
</file>

<file path=customXml/itemProps39.xml><?xml version="1.0" encoding="utf-8"?>
<ds:datastoreItem xmlns:ds="http://schemas.openxmlformats.org/officeDocument/2006/customXml" ds:itemID="{32461F40-476E-48BA-9B91-29E644EBBA31}">
  <ds:schemaRefs/>
</ds:datastoreItem>
</file>

<file path=customXml/itemProps40.xml><?xml version="1.0" encoding="utf-8"?>
<ds:datastoreItem xmlns:ds="http://schemas.openxmlformats.org/officeDocument/2006/customXml" ds:itemID="{A64968AB-82DD-4BE2-9B16-9D4D8BF1E8CC}">
  <ds:schemaRefs/>
</ds:datastoreItem>
</file>

<file path=customXml/itemProps41.xml><?xml version="1.0" encoding="utf-8"?>
<ds:datastoreItem xmlns:ds="http://schemas.openxmlformats.org/officeDocument/2006/customXml" ds:itemID="{BFA9BE73-1D80-4B5A-97D7-CE3DA142275E}">
  <ds:schemaRefs/>
</ds:datastoreItem>
</file>

<file path=customXml/itemProps42.xml><?xml version="1.0" encoding="utf-8"?>
<ds:datastoreItem xmlns:ds="http://schemas.openxmlformats.org/officeDocument/2006/customXml" ds:itemID="{9B451A74-F3AD-4799-AC03-3323C4C7DE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ProfitLossStatement</vt:lpstr>
      <vt:lpstr>target</vt:lpstr>
      <vt:lpstr>Movie_Financials</vt:lpstr>
      <vt:lpstr>movies</vt:lpstr>
      <vt:lpstr>financials</vt:lpstr>
      <vt:lpstr>actors</vt:lpstr>
      <vt:lpstr>movie_actor</vt:lpstr>
      <vt:lpstr>languages</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Dhaval Patel</dc:creator>
  <cp:lastModifiedBy>Mayank Bhatt</cp:lastModifiedBy>
  <dcterms:created xsi:type="dcterms:W3CDTF">2015-06-05T18:17:20Z</dcterms:created>
  <dcterms:modified xsi:type="dcterms:W3CDTF">2023-05-19T04:31:46Z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0x010100686C0266E115364AA9B96DE5BECF7DB6</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